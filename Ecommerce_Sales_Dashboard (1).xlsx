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tiwar\OneDrive\Documents\data\"/>
    </mc:Choice>
  </mc:AlternateContent>
  <xr:revisionPtr revIDLastSave="0" documentId="13_ncr:1_{C49C245D-FDC4-4A84-B806-FC7A861ED62E}" xr6:coauthVersionLast="47" xr6:coauthVersionMax="47" xr10:uidLastSave="{00000000-0000-0000-0000-000000000000}"/>
  <bookViews>
    <workbookView xWindow="-108" yWindow="-108" windowWidth="23256" windowHeight="13176" xr2:uid="{00000000-000D-0000-FFFF-FFFF00000000}"/>
  </bookViews>
  <sheets>
    <sheet name="Dashboard" sheetId="1" r:id="rId1"/>
    <sheet name="Calculation" sheetId="5" r:id="rId2"/>
    <sheet name="Data" sheetId="2" r:id="rId3"/>
    <sheet name="Lists" sheetId="4" state="hidden" r:id="rId4"/>
  </sheets>
  <definedNames>
    <definedName name="NativeTimeline_Order_Date">#N/A</definedName>
    <definedName name="Slicer_Category">#N/A</definedName>
    <definedName name="Slicer_Payment_Method">#N/A</definedName>
    <definedName name="Slicer_Product_Name">#N/A</definedName>
    <definedName name="Slicer_Region">#N/A</definedName>
  </definedNames>
  <calcPr calcId="191029" forceFullCalc="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 l="1"/>
  <c r="G6" i="1"/>
  <c r="A6" i="1"/>
  <c r="J6" i="1" l="1"/>
  <c r="M6" i="1"/>
</calcChain>
</file>

<file path=xl/sharedStrings.xml><?xml version="1.0" encoding="utf-8"?>
<sst xmlns="http://schemas.openxmlformats.org/spreadsheetml/2006/main" count="2608" uniqueCount="65">
  <si>
    <t>E-COMMERCE SALES DASHBOARD</t>
  </si>
  <si>
    <t>Region</t>
  </si>
  <si>
    <t>Category</t>
  </si>
  <si>
    <t>Product</t>
  </si>
  <si>
    <t>Customer Type</t>
  </si>
  <si>
    <t>All</t>
  </si>
  <si>
    <t>Total Sales</t>
  </si>
  <si>
    <t>Total Orders</t>
  </si>
  <si>
    <t>Units Sold</t>
  </si>
  <si>
    <t>Average Order Value</t>
  </si>
  <si>
    <t>Avg Unit Price</t>
  </si>
  <si>
    <t>Order_ID</t>
  </si>
  <si>
    <t>Order_Date</t>
  </si>
  <si>
    <t>Product_Name</t>
  </si>
  <si>
    <t>Quantity</t>
  </si>
  <si>
    <t>Unit_Price</t>
  </si>
  <si>
    <t>Total_Sales</t>
  </si>
  <si>
    <t>Customer_Type</t>
  </si>
  <si>
    <t>Payment_Method</t>
  </si>
  <si>
    <t>Laptop</t>
  </si>
  <si>
    <t>Electronics</t>
  </si>
  <si>
    <t>Chennai</t>
  </si>
  <si>
    <t>Premium</t>
  </si>
  <si>
    <t>Card</t>
  </si>
  <si>
    <t>Headphones</t>
  </si>
  <si>
    <t>Delhi</t>
  </si>
  <si>
    <t>New</t>
  </si>
  <si>
    <t>UPI</t>
  </si>
  <si>
    <t>Shoes</t>
  </si>
  <si>
    <t>Fashion</t>
  </si>
  <si>
    <t>Watch</t>
  </si>
  <si>
    <t>Other</t>
  </si>
  <si>
    <t>Pune</t>
  </si>
  <si>
    <t>Mobile Case</t>
  </si>
  <si>
    <t>Tablet</t>
  </si>
  <si>
    <t>Returning</t>
  </si>
  <si>
    <t>COD</t>
  </si>
  <si>
    <t>Book</t>
  </si>
  <si>
    <t>Books</t>
  </si>
  <si>
    <t>Hyderabad</t>
  </si>
  <si>
    <t>Backpack</t>
  </si>
  <si>
    <t>Bangalore</t>
  </si>
  <si>
    <t>Smartwatch</t>
  </si>
  <si>
    <t>Water Bottle</t>
  </si>
  <si>
    <t>Mumbai</t>
  </si>
  <si>
    <t>Payment Method</t>
  </si>
  <si>
    <t>Row Labels</t>
  </si>
  <si>
    <t>Grand Total</t>
  </si>
  <si>
    <t>Sum of Total_Sales</t>
  </si>
  <si>
    <t>Jan</t>
  </si>
  <si>
    <t>Feb</t>
  </si>
  <si>
    <t>Mar</t>
  </si>
  <si>
    <t>Apr</t>
  </si>
  <si>
    <t>May</t>
  </si>
  <si>
    <t>Jun</t>
  </si>
  <si>
    <t>Jul</t>
  </si>
  <si>
    <t>Aug</t>
  </si>
  <si>
    <t>Sep</t>
  </si>
  <si>
    <t>Oct</t>
  </si>
  <si>
    <t>Nov</t>
  </si>
  <si>
    <t>Dec</t>
  </si>
  <si>
    <t>Count of Order_ID</t>
  </si>
  <si>
    <t>Sum of Unit_Price</t>
  </si>
  <si>
    <t>Sum of Quantity</t>
  </si>
  <si>
    <t xml:space="preserve"> Key Insights
1. Electronics is the top-performing category.
2. Laptop is the highest-selling product.
3. Pune is the top-performing region.
4. Premium customers generate strong sales.
5. COD is the most preferred payment method.
6.Total Sales: ₹94.45 Lakh from 499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</si>
</sst>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0"/>
  </numFmts>
  <fonts count="8" x14ac:knownFonts="1">
    <font>
      <sz val="11"/>
      <color theme="1"/>
      <name val="Calibri"/>
      <family val="2"/>
      <scheme val="minor"/>
    </font>
    <font>
      <b/>
      <sz val="11"/>
      <color rgb="FFFFFFFF"/>
      <name val="Calibri"/>
      <family val="2"/>
    </font>
    <font>
      <b/>
      <sz val="24"/>
      <color rgb="FFFFFFFF"/>
      <name val="Calibri"/>
      <family val="2"/>
    </font>
    <font>
      <b/>
      <sz val="20"/>
      <color rgb="FF1F2937"/>
      <name val="Calibri"/>
      <family val="2"/>
    </font>
    <font>
      <b/>
      <sz val="11"/>
      <color theme="1"/>
      <name val="Calibri"/>
      <family val="2"/>
    </font>
    <font>
      <sz val="11"/>
      <color theme="0"/>
      <name val="Calibri"/>
      <family val="2"/>
      <scheme val="minor"/>
    </font>
    <font>
      <b/>
      <sz val="17"/>
      <color theme="0"/>
      <name val="Calibri"/>
      <family val="2"/>
      <scheme val="minor"/>
    </font>
    <font>
      <sz val="16"/>
      <color theme="0"/>
      <name val="Calibri"/>
      <family val="2"/>
      <scheme val="minor"/>
    </font>
  </fonts>
  <fills count="13">
    <fill>
      <patternFill patternType="none"/>
    </fill>
    <fill>
      <patternFill patternType="gray125"/>
    </fill>
    <fill>
      <patternFill patternType="solid">
        <fgColor rgb="FF17365D"/>
      </patternFill>
    </fill>
    <fill>
      <patternFill patternType="solid">
        <fgColor rgb="FF2F75B5"/>
      </patternFill>
    </fill>
    <fill>
      <patternFill patternType="solid">
        <fgColor rgb="FF70AD47"/>
      </patternFill>
    </fill>
    <fill>
      <patternFill patternType="solid">
        <fgColor rgb="FFFFFF00"/>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rgb="FF00B050"/>
        <bgColor indexed="64"/>
      </patternFill>
    </fill>
    <fill>
      <patternFill patternType="solid">
        <fgColor theme="7" tint="-0.249977111117893"/>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31">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5" fillId="0" borderId="0" xfId="0" applyFont="1"/>
    <xf numFmtId="0" fontId="6" fillId="12" borderId="0" xfId="0" applyFont="1" applyFill="1" applyAlignment="1">
      <alignment horizontal="left" vertical="top" wrapText="1"/>
    </xf>
    <xf numFmtId="0" fontId="7" fillId="12" borderId="0" xfId="0" applyFont="1" applyFill="1" applyAlignment="1">
      <alignment horizontal="left" vertical="top"/>
    </xf>
    <xf numFmtId="0" fontId="2" fillId="2" borderId="0" xfId="0" applyFont="1" applyFill="1" applyAlignment="1">
      <alignment horizontal="center" vertical="center"/>
    </xf>
    <xf numFmtId="0" fontId="0" fillId="0" borderId="0" xfId="0"/>
    <xf numFmtId="165" fontId="3" fillId="7" borderId="1" xfId="0" applyNumberFormat="1" applyFont="1" applyFill="1" applyBorder="1" applyAlignment="1">
      <alignment horizontal="center" vertical="center"/>
    </xf>
    <xf numFmtId="0" fontId="0" fillId="7" borderId="1" xfId="0" applyFill="1" applyBorder="1"/>
    <xf numFmtId="0" fontId="4" fillId="9" borderId="1" xfId="0" applyFont="1" applyFill="1" applyBorder="1" applyAlignment="1">
      <alignment horizontal="center" vertical="top"/>
    </xf>
    <xf numFmtId="0" fontId="0" fillId="9" borderId="1" xfId="0" applyFill="1" applyBorder="1"/>
    <xf numFmtId="3" fontId="3" fillId="10" borderId="1" xfId="0" applyNumberFormat="1" applyFont="1" applyFill="1" applyBorder="1" applyAlignment="1">
      <alignment horizontal="center" vertical="center"/>
    </xf>
    <xf numFmtId="0" fontId="0" fillId="10" borderId="1" xfId="0" applyFill="1" applyBorder="1"/>
    <xf numFmtId="0" fontId="4" fillId="5" borderId="1" xfId="0" applyFont="1" applyFill="1" applyBorder="1" applyAlignment="1">
      <alignment horizontal="center" vertical="top"/>
    </xf>
    <xf numFmtId="0" fontId="0" fillId="5" borderId="1" xfId="0" applyFill="1" applyBorder="1"/>
    <xf numFmtId="0" fontId="4" fillId="8" borderId="1" xfId="0" applyFont="1" applyFill="1" applyBorder="1" applyAlignment="1">
      <alignment horizontal="center" vertical="top"/>
    </xf>
    <xf numFmtId="0" fontId="0" fillId="8" borderId="1" xfId="0" applyFill="1" applyBorder="1"/>
    <xf numFmtId="165" fontId="3" fillId="6" borderId="1" xfId="0" applyNumberFormat="1" applyFont="1" applyFill="1" applyBorder="1" applyAlignment="1">
      <alignment horizontal="center" vertical="center"/>
    </xf>
    <xf numFmtId="0" fontId="0" fillId="6" borderId="1" xfId="0" applyFill="1" applyBorder="1"/>
    <xf numFmtId="165" fontId="3" fillId="9" borderId="1" xfId="0" applyNumberFormat="1" applyFont="1" applyFill="1" applyBorder="1" applyAlignment="1">
      <alignment horizontal="center" vertical="center"/>
    </xf>
    <xf numFmtId="3" fontId="3" fillId="11" borderId="1" xfId="0" applyNumberFormat="1" applyFont="1" applyFill="1" applyBorder="1" applyAlignment="1">
      <alignment horizontal="center" vertical="center"/>
    </xf>
    <xf numFmtId="0" fontId="0" fillId="11" borderId="1" xfId="0" applyFill="1" applyBorder="1"/>
    <xf numFmtId="0" fontId="4" fillId="3" borderId="1" xfId="0" applyFont="1" applyFill="1" applyBorder="1" applyAlignment="1">
      <alignment horizontal="center" vertical="top"/>
    </xf>
    <xf numFmtId="0" fontId="0" fillId="0" borderId="1" xfId="0" applyBorder="1"/>
    <xf numFmtId="0" fontId="4" fillId="4" borderId="1" xfId="0" applyFont="1" applyFill="1" applyBorder="1" applyAlignment="1">
      <alignment horizontal="center" vertical="top"/>
    </xf>
    <xf numFmtId="0" fontId="2" fillId="12" borderId="0" xfId="0" applyFont="1" applyFill="1" applyAlignment="1">
      <alignment horizontal="center" vertical="center"/>
    </xf>
    <xf numFmtId="0" fontId="0" fillId="12" borderId="0" xfId="0" applyFill="1"/>
  </cellXfs>
  <cellStyles count="1">
    <cellStyle name="Normal" xfId="0" builtinId="0"/>
  </cellStyles>
  <dxfs count="1">
    <dxf>
      <font>
        <b/>
        <i val="0"/>
        <sz val="8"/>
        <name val="Cambria"/>
        <family val="1"/>
        <scheme val="major"/>
      </font>
    </dxf>
  </dxfs>
  <tableStyles count="1" defaultTableStyle="TableStyleMedium9" defaultPivotStyle="PivotStyleLight16">
    <tableStyle name="Slicer Style 1" pivot="0" table="0" count="1" xr9:uid="{A8D81177-5F1E-40E9-97CE-5983AB6B5681}">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(1).xlsx]Calculation!PivotTable1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Calculation!$A$4:$A$14</c:f>
              <c:strCache>
                <c:ptCount val="10"/>
                <c:pt idx="0">
                  <c:v>Laptop</c:v>
                </c:pt>
                <c:pt idx="1">
                  <c:v>Tablet</c:v>
                </c:pt>
                <c:pt idx="2">
                  <c:v>Watch</c:v>
                </c:pt>
                <c:pt idx="3">
                  <c:v>Smartwatch</c:v>
                </c:pt>
                <c:pt idx="4">
                  <c:v>Shoes</c:v>
                </c:pt>
                <c:pt idx="5">
                  <c:v>Headphones</c:v>
                </c:pt>
                <c:pt idx="6">
                  <c:v>Backpack</c:v>
                </c:pt>
                <c:pt idx="7">
                  <c:v>Book</c:v>
                </c:pt>
                <c:pt idx="8">
                  <c:v>Mobile Case</c:v>
                </c:pt>
                <c:pt idx="9">
                  <c:v>Water Bottle</c:v>
                </c:pt>
              </c:strCache>
            </c:strRef>
          </c:cat>
          <c:val>
            <c:numRef>
              <c:f>Calculation!$B$4:$B$14</c:f>
              <c:numCache>
                <c:formatCode>\₹#,##0</c:formatCode>
                <c:ptCount val="10"/>
                <c:pt idx="0">
                  <c:v>4118275</c:v>
                </c:pt>
                <c:pt idx="1">
                  <c:v>1906910</c:v>
                </c:pt>
                <c:pt idx="2">
                  <c:v>1687820</c:v>
                </c:pt>
                <c:pt idx="3">
                  <c:v>728307</c:v>
                </c:pt>
                <c:pt idx="4">
                  <c:v>311239</c:v>
                </c:pt>
                <c:pt idx="5">
                  <c:v>300524</c:v>
                </c:pt>
                <c:pt idx="6">
                  <c:v>168728</c:v>
                </c:pt>
                <c:pt idx="7">
                  <c:v>80901</c:v>
                </c:pt>
                <c:pt idx="8">
                  <c:v>75229</c:v>
                </c:pt>
                <c:pt idx="9">
                  <c:v>67191</c:v>
                </c:pt>
              </c:numCache>
            </c:numRef>
          </c:val>
          <c:extLst>
            <c:ext xmlns:c16="http://schemas.microsoft.com/office/drawing/2014/chart" uri="{C3380CC4-5D6E-409C-BE32-E72D297353CC}">
              <c16:uniqueId val="{00000000-67DF-4BCE-97D4-142757F5838A}"/>
            </c:ext>
          </c:extLst>
        </c:ser>
        <c:dLbls>
          <c:showLegendKey val="0"/>
          <c:showVal val="0"/>
          <c:showCatName val="0"/>
          <c:showSerName val="0"/>
          <c:showPercent val="0"/>
          <c:showBubbleSize val="0"/>
        </c:dLbls>
        <c:gapWidth val="115"/>
        <c:overlap val="-20"/>
        <c:axId val="136306351"/>
        <c:axId val="138185871"/>
      </c:barChart>
      <c:catAx>
        <c:axId val="136306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85871"/>
        <c:crosses val="autoZero"/>
        <c:auto val="1"/>
        <c:lblAlgn val="ctr"/>
        <c:lblOffset val="100"/>
        <c:noMultiLvlLbl val="0"/>
      </c:catAx>
      <c:valAx>
        <c:axId val="13818587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0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(1).xlsx]Calculation!PivotTable2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Calculation!$D$4:$D$8</c:f>
              <c:strCache>
                <c:ptCount val="4"/>
                <c:pt idx="0">
                  <c:v>Electronics</c:v>
                </c:pt>
                <c:pt idx="1">
                  <c:v>Other</c:v>
                </c:pt>
                <c:pt idx="2">
                  <c:v>Fashion</c:v>
                </c:pt>
                <c:pt idx="3">
                  <c:v>Books</c:v>
                </c:pt>
              </c:strCache>
            </c:strRef>
          </c:cat>
          <c:val>
            <c:numRef>
              <c:f>Calculation!$E$4:$E$8</c:f>
              <c:numCache>
                <c:formatCode>\₹#,##0</c:formatCode>
                <c:ptCount val="4"/>
                <c:pt idx="0">
                  <c:v>7054016</c:v>
                </c:pt>
                <c:pt idx="1">
                  <c:v>1830240</c:v>
                </c:pt>
                <c:pt idx="2">
                  <c:v>479967</c:v>
                </c:pt>
                <c:pt idx="3">
                  <c:v>80901</c:v>
                </c:pt>
              </c:numCache>
            </c:numRef>
          </c:val>
          <c:extLst>
            <c:ext xmlns:c16="http://schemas.microsoft.com/office/drawing/2014/chart" uri="{C3380CC4-5D6E-409C-BE32-E72D297353CC}">
              <c16:uniqueId val="{00000000-F523-4A14-AC0E-46580A7175E3}"/>
            </c:ext>
          </c:extLst>
        </c:ser>
        <c:dLbls>
          <c:showLegendKey val="0"/>
          <c:showVal val="0"/>
          <c:showCatName val="0"/>
          <c:showSerName val="0"/>
          <c:showPercent val="0"/>
          <c:showBubbleSize val="0"/>
        </c:dLbls>
        <c:gapWidth val="100"/>
        <c:overlap val="-24"/>
        <c:axId val="82244767"/>
        <c:axId val="138177231"/>
      </c:barChart>
      <c:catAx>
        <c:axId val="82244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77231"/>
        <c:crosses val="autoZero"/>
        <c:auto val="1"/>
        <c:lblAlgn val="ctr"/>
        <c:lblOffset val="100"/>
        <c:noMultiLvlLbl val="0"/>
      </c:catAx>
      <c:valAx>
        <c:axId val="13817723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24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(1).xlsx]Calculation!PivotTable3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Calculation!$G$4:$G$10</c:f>
              <c:strCache>
                <c:ptCount val="6"/>
                <c:pt idx="0">
                  <c:v>Pune</c:v>
                </c:pt>
                <c:pt idx="1">
                  <c:v>Hyderabad</c:v>
                </c:pt>
                <c:pt idx="2">
                  <c:v>Mumbai</c:v>
                </c:pt>
                <c:pt idx="3">
                  <c:v>Bangalore</c:v>
                </c:pt>
                <c:pt idx="4">
                  <c:v>Chennai</c:v>
                </c:pt>
                <c:pt idx="5">
                  <c:v>Delhi</c:v>
                </c:pt>
              </c:strCache>
            </c:strRef>
          </c:cat>
          <c:val>
            <c:numRef>
              <c:f>Calculation!$H$4:$H$10</c:f>
              <c:numCache>
                <c:formatCode>\₹#,##0</c:formatCode>
                <c:ptCount val="6"/>
                <c:pt idx="0">
                  <c:v>1962356</c:v>
                </c:pt>
                <c:pt idx="1">
                  <c:v>1841745</c:v>
                </c:pt>
                <c:pt idx="2">
                  <c:v>1555683</c:v>
                </c:pt>
                <c:pt idx="3">
                  <c:v>1506635</c:v>
                </c:pt>
                <c:pt idx="4">
                  <c:v>1502056</c:v>
                </c:pt>
                <c:pt idx="5">
                  <c:v>1076649</c:v>
                </c:pt>
              </c:numCache>
            </c:numRef>
          </c:val>
          <c:extLst>
            <c:ext xmlns:c16="http://schemas.microsoft.com/office/drawing/2014/chart" uri="{C3380CC4-5D6E-409C-BE32-E72D297353CC}">
              <c16:uniqueId val="{00000000-4A03-45BF-A463-A668EF1FEEFD}"/>
            </c:ext>
          </c:extLst>
        </c:ser>
        <c:dLbls>
          <c:showLegendKey val="0"/>
          <c:showVal val="0"/>
          <c:showCatName val="0"/>
          <c:showSerName val="0"/>
          <c:showPercent val="0"/>
          <c:showBubbleSize val="0"/>
        </c:dLbls>
        <c:gapWidth val="100"/>
        <c:overlap val="-24"/>
        <c:axId val="141547839"/>
        <c:axId val="138216591"/>
      </c:barChart>
      <c:catAx>
        <c:axId val="141547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216591"/>
        <c:crosses val="autoZero"/>
        <c:auto val="1"/>
        <c:lblAlgn val="ctr"/>
        <c:lblOffset val="100"/>
        <c:noMultiLvlLbl val="0"/>
      </c:catAx>
      <c:valAx>
        <c:axId val="1382165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4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(1).xlsx]Calculation!PivotTable4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Customer_Type</a:t>
            </a:r>
          </a:p>
        </c:rich>
      </c:tx>
      <c:layout>
        <c:manualLayout>
          <c:xMode val="edge"/>
          <c:yMode val="edge"/>
          <c:x val="0.2605137795275590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Calculation!$K$3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621-41CF-B2E1-EF55A0D6F69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621-41CF-B2E1-EF55A0D6F69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621-41CF-B2E1-EF55A0D6F6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Calculation!$J$4:$J$7</c:f>
              <c:strCache>
                <c:ptCount val="3"/>
                <c:pt idx="0">
                  <c:v>Premium</c:v>
                </c:pt>
                <c:pt idx="1">
                  <c:v>New</c:v>
                </c:pt>
                <c:pt idx="2">
                  <c:v>Returning</c:v>
                </c:pt>
              </c:strCache>
            </c:strRef>
          </c:cat>
          <c:val>
            <c:numRef>
              <c:f>Calculation!$K$4:$K$7</c:f>
              <c:numCache>
                <c:formatCode>\₹#,##0</c:formatCode>
                <c:ptCount val="3"/>
                <c:pt idx="0">
                  <c:v>3537128</c:v>
                </c:pt>
                <c:pt idx="1">
                  <c:v>3306792</c:v>
                </c:pt>
                <c:pt idx="2">
                  <c:v>2601204</c:v>
                </c:pt>
              </c:numCache>
            </c:numRef>
          </c:val>
          <c:extLst>
            <c:ext xmlns:c16="http://schemas.microsoft.com/office/drawing/2014/chart" uri="{C3380CC4-5D6E-409C-BE32-E72D297353CC}">
              <c16:uniqueId val="{00000006-E621-41CF-B2E1-EF55A0D6F6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(1).xlsx]Calculation!PivotTable5</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Payment_Method</a:t>
            </a:r>
          </a:p>
        </c:rich>
      </c:tx>
      <c:layout>
        <c:manualLayout>
          <c:xMode val="edge"/>
          <c:yMode val="edge"/>
          <c:x val="0.30569444444444449"/>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Calculation!$A$18:$A$21</c:f>
              <c:strCache>
                <c:ptCount val="3"/>
                <c:pt idx="0">
                  <c:v>COD</c:v>
                </c:pt>
                <c:pt idx="1">
                  <c:v>UPI</c:v>
                </c:pt>
                <c:pt idx="2">
                  <c:v>Card</c:v>
                </c:pt>
              </c:strCache>
            </c:strRef>
          </c:cat>
          <c:val>
            <c:numRef>
              <c:f>Calculation!$B$18:$B$21</c:f>
              <c:numCache>
                <c:formatCode>\₹#,##0</c:formatCode>
                <c:ptCount val="3"/>
                <c:pt idx="0">
                  <c:v>3634879</c:v>
                </c:pt>
                <c:pt idx="1">
                  <c:v>3149983</c:v>
                </c:pt>
                <c:pt idx="2">
                  <c:v>2660262</c:v>
                </c:pt>
              </c:numCache>
            </c:numRef>
          </c:val>
          <c:extLst>
            <c:ext xmlns:c16="http://schemas.microsoft.com/office/drawing/2014/chart" uri="{C3380CC4-5D6E-409C-BE32-E72D297353CC}">
              <c16:uniqueId val="{00000000-F4EB-4BEA-AA57-DF64D309A75D}"/>
            </c:ext>
          </c:extLst>
        </c:ser>
        <c:dLbls>
          <c:showLegendKey val="0"/>
          <c:showVal val="0"/>
          <c:showCatName val="0"/>
          <c:showSerName val="0"/>
          <c:showPercent val="0"/>
          <c:showBubbleSize val="0"/>
        </c:dLbls>
        <c:gapWidth val="150"/>
        <c:overlap val="100"/>
        <c:axId val="141541343"/>
        <c:axId val="138194031"/>
      </c:barChart>
      <c:catAx>
        <c:axId val="1415413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94031"/>
        <c:crosses val="autoZero"/>
        <c:auto val="1"/>
        <c:lblAlgn val="ctr"/>
        <c:lblOffset val="100"/>
        <c:noMultiLvlLbl val="0"/>
      </c:catAx>
      <c:valAx>
        <c:axId val="13819403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4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 (1).xlsx]Calculation!PivotTable6</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Months</a:t>
            </a:r>
          </a:p>
        </c:rich>
      </c:tx>
      <c:layout>
        <c:manualLayout>
          <c:xMode val="edge"/>
          <c:yMode val="edge"/>
          <c:x val="0.31721522309711286"/>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Calculation!$E$17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Calculation!$D$18:$D$30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Calculation!$E$18:$E$30</c:f>
              <c:numCache>
                <c:formatCode>\₹#,##0</c:formatCode>
                <c:ptCount val="12"/>
                <c:pt idx="0">
                  <c:v>1162766</c:v>
                </c:pt>
                <c:pt idx="1">
                  <c:v>1126805</c:v>
                </c:pt>
                <c:pt idx="2">
                  <c:v>1204732</c:v>
                </c:pt>
                <c:pt idx="3">
                  <c:v>1040963</c:v>
                </c:pt>
                <c:pt idx="4">
                  <c:v>806533</c:v>
                </c:pt>
                <c:pt idx="5">
                  <c:v>590105</c:v>
                </c:pt>
                <c:pt idx="6">
                  <c:v>689777</c:v>
                </c:pt>
                <c:pt idx="7">
                  <c:v>502941</c:v>
                </c:pt>
                <c:pt idx="8">
                  <c:v>466775</c:v>
                </c:pt>
                <c:pt idx="9">
                  <c:v>478704</c:v>
                </c:pt>
                <c:pt idx="10">
                  <c:v>693532</c:v>
                </c:pt>
                <c:pt idx="11">
                  <c:v>681491</c:v>
                </c:pt>
              </c:numCache>
            </c:numRef>
          </c:val>
          <c:smooth val="0"/>
          <c:extLst>
            <c:ext xmlns:c16="http://schemas.microsoft.com/office/drawing/2014/chart" uri="{C3380CC4-5D6E-409C-BE32-E72D297353CC}">
              <c16:uniqueId val="{00000000-8954-43F2-9DAB-3A043ECD4F9D}"/>
            </c:ext>
          </c:extLst>
        </c:ser>
        <c:dLbls>
          <c:showLegendKey val="0"/>
          <c:showVal val="0"/>
          <c:showCatName val="0"/>
          <c:showSerName val="0"/>
          <c:showPercent val="0"/>
          <c:showBubbleSize val="0"/>
        </c:dLbls>
        <c:marker val="1"/>
        <c:smooth val="0"/>
        <c:axId val="235323903"/>
        <c:axId val="138226671"/>
      </c:lineChart>
      <c:catAx>
        <c:axId val="2353239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226671"/>
        <c:crosses val="autoZero"/>
        <c:auto val="1"/>
        <c:lblAlgn val="ctr"/>
        <c:lblOffset val="100"/>
        <c:noMultiLvlLbl val="0"/>
      </c:catAx>
      <c:valAx>
        <c:axId val="13822667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532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383261</xdr:colOff>
      <xdr:row>7</xdr:row>
      <xdr:rowOff>61001</xdr:rowOff>
    </xdr:from>
    <xdr:to>
      <xdr:col>13</xdr:col>
      <xdr:colOff>446316</xdr:colOff>
      <xdr:row>20</xdr:row>
      <xdr:rowOff>130628</xdr:rowOff>
    </xdr:to>
    <xdr:graphicFrame macro="">
      <xdr:nvGraphicFramePr>
        <xdr:cNvPr id="2" name="Chart 1">
          <a:extLst>
            <a:ext uri="{FF2B5EF4-FFF2-40B4-BE49-F238E27FC236}">
              <a16:creationId xmlns:a16="http://schemas.microsoft.com/office/drawing/2014/main" id="{09C3743C-159C-4008-BD6B-D43219EC0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93453</xdr:colOff>
      <xdr:row>21</xdr:row>
      <xdr:rowOff>20539</xdr:rowOff>
    </xdr:from>
    <xdr:to>
      <xdr:col>4</xdr:col>
      <xdr:colOff>555172</xdr:colOff>
      <xdr:row>35</xdr:row>
      <xdr:rowOff>0</xdr:rowOff>
    </xdr:to>
    <xdr:graphicFrame macro="">
      <xdr:nvGraphicFramePr>
        <xdr:cNvPr id="3" name="Chart 2">
          <a:extLst>
            <a:ext uri="{FF2B5EF4-FFF2-40B4-BE49-F238E27FC236}">
              <a16:creationId xmlns:a16="http://schemas.microsoft.com/office/drawing/2014/main" id="{C74E5F56-8AAE-4EF6-BCD9-A0940C546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377302</xdr:colOff>
      <xdr:row>21</xdr:row>
      <xdr:rowOff>13146</xdr:rowOff>
    </xdr:from>
    <xdr:to>
      <xdr:col>13</xdr:col>
      <xdr:colOff>391886</xdr:colOff>
      <xdr:row>34</xdr:row>
      <xdr:rowOff>76200</xdr:rowOff>
    </xdr:to>
    <xdr:graphicFrame macro="">
      <xdr:nvGraphicFramePr>
        <xdr:cNvPr id="4" name="Chart 3">
          <a:extLst>
            <a:ext uri="{FF2B5EF4-FFF2-40B4-BE49-F238E27FC236}">
              <a16:creationId xmlns:a16="http://schemas.microsoft.com/office/drawing/2014/main" id="{F5FF97F2-85D3-47AC-978A-AD506093C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158767</xdr:colOff>
      <xdr:row>35</xdr:row>
      <xdr:rowOff>108857</xdr:rowOff>
    </xdr:from>
    <xdr:to>
      <xdr:col>4</xdr:col>
      <xdr:colOff>511629</xdr:colOff>
      <xdr:row>50</xdr:row>
      <xdr:rowOff>156302</xdr:rowOff>
    </xdr:to>
    <xdr:graphicFrame macro="">
      <xdr:nvGraphicFramePr>
        <xdr:cNvPr id="5" name="Chart 4">
          <a:extLst>
            <a:ext uri="{FF2B5EF4-FFF2-40B4-BE49-F238E27FC236}">
              <a16:creationId xmlns:a16="http://schemas.microsoft.com/office/drawing/2014/main" id="{B4F92F40-5DA1-4D8A-858F-677C5F129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377507</xdr:colOff>
      <xdr:row>35</xdr:row>
      <xdr:rowOff>9447</xdr:rowOff>
    </xdr:from>
    <xdr:to>
      <xdr:col>13</xdr:col>
      <xdr:colOff>492527</xdr:colOff>
      <xdr:row>50</xdr:row>
      <xdr:rowOff>62233</xdr:rowOff>
    </xdr:to>
    <xdr:graphicFrame macro="">
      <xdr:nvGraphicFramePr>
        <xdr:cNvPr id="6" name="Chart 5">
          <a:extLst>
            <a:ext uri="{FF2B5EF4-FFF2-40B4-BE49-F238E27FC236}">
              <a16:creationId xmlns:a16="http://schemas.microsoft.com/office/drawing/2014/main" id="{24493280-A8D8-4D87-A6D5-871D1B790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79075</xdr:colOff>
      <xdr:row>7</xdr:row>
      <xdr:rowOff>69040</xdr:rowOff>
    </xdr:from>
    <xdr:to>
      <xdr:col>4</xdr:col>
      <xdr:colOff>576943</xdr:colOff>
      <xdr:row>20</xdr:row>
      <xdr:rowOff>92044</xdr:rowOff>
    </xdr:to>
    <xdr:graphicFrame macro="">
      <xdr:nvGraphicFramePr>
        <xdr:cNvPr id="7" name="Chart 6">
          <a:extLst>
            <a:ext uri="{FF2B5EF4-FFF2-40B4-BE49-F238E27FC236}">
              <a16:creationId xmlns:a16="http://schemas.microsoft.com/office/drawing/2014/main" id="{BA06D492-3B27-4981-BF65-E0FFC8097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856687</xdr:colOff>
      <xdr:row>15</xdr:row>
      <xdr:rowOff>152195</xdr:rowOff>
    </xdr:from>
    <xdr:to>
      <xdr:col>8</xdr:col>
      <xdr:colOff>141514</xdr:colOff>
      <xdr:row>22</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B62B920-BFDD-465B-91A6-B13CF135A2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03451" y="3200195"/>
              <a:ext cx="2831590" cy="1184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772886</xdr:colOff>
      <xdr:row>23</xdr:row>
      <xdr:rowOff>65313</xdr:rowOff>
    </xdr:from>
    <xdr:to>
      <xdr:col>6</xdr:col>
      <xdr:colOff>402771</xdr:colOff>
      <xdr:row>31</xdr:row>
      <xdr:rowOff>25035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24017208-0EE7-4D6D-AE09-85A1B9E928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39046" y="5147853"/>
              <a:ext cx="1412965" cy="1422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742204</xdr:colOff>
      <xdr:row>31</xdr:row>
      <xdr:rowOff>166256</xdr:rowOff>
    </xdr:from>
    <xdr:to>
      <xdr:col>8</xdr:col>
      <xdr:colOff>263236</xdr:colOff>
      <xdr:row>41</xdr:row>
      <xdr:rowOff>55418</xdr:rowOff>
    </xdr:to>
    <mc:AlternateContent xmlns:mc="http://schemas.openxmlformats.org/markup-compatibility/2006">
      <mc:Choice xmlns:a14="http://schemas.microsoft.com/office/drawing/2010/main" Requires="a14">
        <xdr:graphicFrame macro="">
          <xdr:nvGraphicFramePr>
            <xdr:cNvPr id="10" name="Product_Name">
              <a:extLst>
                <a:ext uri="{FF2B5EF4-FFF2-40B4-BE49-F238E27FC236}">
                  <a16:creationId xmlns:a16="http://schemas.microsoft.com/office/drawing/2014/main" id="{23FD7CC4-3804-436D-9586-7676035F42F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4292967" y="6105143"/>
              <a:ext cx="3071795" cy="1695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532412</xdr:colOff>
      <xdr:row>23</xdr:row>
      <xdr:rowOff>143496</xdr:rowOff>
    </xdr:from>
    <xdr:to>
      <xdr:col>8</xdr:col>
      <xdr:colOff>164474</xdr:colOff>
      <xdr:row>30</xdr:row>
      <xdr:rowOff>96982</xdr:rowOff>
    </xdr:to>
    <mc:AlternateContent xmlns:mc="http://schemas.openxmlformats.org/markup-compatibility/2006">
      <mc:Choice xmlns:a14="http://schemas.microsoft.com/office/drawing/2010/main" Requires="a14">
        <xdr:graphicFrame macro="">
          <xdr:nvGraphicFramePr>
            <xdr:cNvPr id="11" name="Payment_Method">
              <a:extLst>
                <a:ext uri="{FF2B5EF4-FFF2-40B4-BE49-F238E27FC236}">
                  <a16:creationId xmlns:a16="http://schemas.microsoft.com/office/drawing/2014/main" id="{A9E6BC8D-45EE-4F4A-9491-FE7158D5799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5858556" y="4636939"/>
              <a:ext cx="1407444" cy="121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764479</xdr:colOff>
      <xdr:row>7</xdr:row>
      <xdr:rowOff>99696</xdr:rowOff>
    </xdr:from>
    <xdr:to>
      <xdr:col>8</xdr:col>
      <xdr:colOff>196244</xdr:colOff>
      <xdr:row>14</xdr:row>
      <xdr:rowOff>175896</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346B790E-B71B-4F65-B5BE-A3D1D4CB235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311243" y="1706823"/>
              <a:ext cx="2978528" cy="13369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tiwari" refreshedDate="46262.679502662038" createdVersion="8" refreshedVersion="8" minRefreshableVersion="3" recordCount="499" xr:uid="{CF4BDA24-C0FA-4F29-8476-4DA2E3791F7F}">
  <cacheSource type="worksheet">
    <worksheetSource name="SalesData"/>
  </cacheSource>
  <cacheFields count="13">
    <cacheField name="Order_ID" numFmtId="0">
      <sharedItems containsSemiMixedTypes="0" containsString="0" containsNumber="1" containsInteger="1" minValue="1001" maxValue="1499"/>
    </cacheField>
    <cacheField name="Order_Date" numFmtId="164">
      <sharedItems containsSemiMixedTypes="0" containsNonDate="0" containsDate="1" containsString="0" minDate="2025-01-02T00:00:00" maxDate="2026-05-16T00:00:00" count="499">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2"/>
    </cacheField>
    <cacheField name="Product_Name" numFmtId="0">
      <sharedItems count="10">
        <s v="Laptop"/>
        <s v="Headphones"/>
        <s v="Shoes"/>
        <s v="Watch"/>
        <s v="Mobile Case"/>
        <s v="Tablet"/>
        <s v="Book"/>
        <s v="Backpack"/>
        <s v="Smartwatch"/>
        <s v="Water Bottle"/>
      </sharedItems>
    </cacheField>
    <cacheField name="Category" numFmtId="0">
      <sharedItems count="4">
        <s v="Electronics"/>
        <s v="Fashion"/>
        <s v="Other"/>
        <s v="Books"/>
      </sharedItems>
    </cacheField>
    <cacheField name="Quantity" numFmtId="0">
      <sharedItems containsSemiMixedTypes="0" containsString="0" containsNumber="1" containsInteger="1" minValue="1" maxValue="5"/>
    </cacheField>
    <cacheField name="Unit_Price" numFmtId="165">
      <sharedItems containsSemiMixedTypes="0" containsString="0" containsNumber="1" containsInteger="1" minValue="100" maxValue="69296"/>
    </cacheField>
    <cacheField name="Total_Sales" numFmtId="165">
      <sharedItems containsSemiMixedTypes="0" containsString="0" containsNumber="1" containsInteger="1" minValue="129" maxValue="137032"/>
    </cacheField>
    <cacheField name="Region" numFmtId="0">
      <sharedItems count="6">
        <s v="Chennai"/>
        <s v="Delhi"/>
        <s v="Pune"/>
        <s v="Hyderabad"/>
        <s v="Bangalore"/>
        <s v="Mumbai"/>
      </sharedItems>
    </cacheField>
    <cacheField name="Customer_Type" numFmtId="0">
      <sharedItems count="3">
        <s v="Premium"/>
        <s v="New"/>
        <s v="Returning"/>
      </sharedItems>
    </cacheField>
    <cacheField name="Payment_Method" numFmtId="0">
      <sharedItems count="3">
        <s v="Card"/>
        <s v="UPI"/>
        <s v="COD"/>
      </sharedItems>
    </cacheField>
    <cacheField name="Months (Order_Date)" numFmtId="0" databaseField="0">
      <fieldGroup base="1">
        <rangePr groupBy="months" startDate="2025-01-02T00:00:00" endDate="2026-05-16T00:00:00"/>
        <groupItems count="14">
          <s v="&lt;02-01-2025"/>
          <s v="Jan"/>
          <s v="Feb"/>
          <s v="Mar"/>
          <s v="Apr"/>
          <s v="May"/>
          <s v="Jun"/>
          <s v="Jul"/>
          <s v="Aug"/>
          <s v="Sep"/>
          <s v="Oct"/>
          <s v="Nov"/>
          <s v="Dec"/>
          <s v="&gt;16-05-2026"/>
        </groupItems>
      </fieldGroup>
    </cacheField>
    <cacheField name="Quarters (Order_Date)" numFmtId="0" databaseField="0">
      <fieldGroup base="1">
        <rangePr groupBy="quarters" startDate="2025-01-02T00:00:00" endDate="2026-05-16T00:00:00"/>
        <groupItems count="6">
          <s v="&lt;02-01-2025"/>
          <s v="Qtr1"/>
          <s v="Qtr2"/>
          <s v="Qtr3"/>
          <s v="Qtr4"/>
          <s v="&gt;16-05-2026"/>
        </groupItems>
      </fieldGroup>
    </cacheField>
    <cacheField name="Years (Order_Date)" numFmtId="0" databaseField="0">
      <fieldGroup base="1">
        <rangePr groupBy="years" startDate="2025-01-02T00:00:00" endDate="2026-05-16T00:00:00"/>
        <groupItems count="4">
          <s v="&lt;02-01-2025"/>
          <s v="2025"/>
          <s v="2026"/>
          <s v="&gt;16-05-2026"/>
        </groupItems>
      </fieldGroup>
    </cacheField>
  </cacheFields>
  <extLst>
    <ext xmlns:x14="http://schemas.microsoft.com/office/spreadsheetml/2009/9/main" uri="{725AE2AE-9491-48be-B2B4-4EB974FC3084}">
      <x14:pivotCacheDefinition pivotCacheId="1833417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001"/>
    <x v="0"/>
    <x v="0"/>
    <x v="0"/>
    <n v="2"/>
    <n v="50353"/>
    <n v="100706"/>
    <x v="0"/>
    <x v="0"/>
    <x v="0"/>
  </r>
  <r>
    <n v="1002"/>
    <x v="1"/>
    <x v="1"/>
    <x v="0"/>
    <n v="2"/>
    <n v="2008"/>
    <n v="4016"/>
    <x v="1"/>
    <x v="1"/>
    <x v="1"/>
  </r>
  <r>
    <n v="1003"/>
    <x v="2"/>
    <x v="2"/>
    <x v="1"/>
    <n v="1"/>
    <n v="4736"/>
    <n v="4736"/>
    <x v="0"/>
    <x v="1"/>
    <x v="1"/>
  </r>
  <r>
    <n v="1004"/>
    <x v="3"/>
    <x v="3"/>
    <x v="2"/>
    <n v="2"/>
    <n v="10072"/>
    <n v="20144"/>
    <x v="2"/>
    <x v="0"/>
    <x v="0"/>
  </r>
  <r>
    <n v="1005"/>
    <x v="4"/>
    <x v="4"/>
    <x v="2"/>
    <n v="2"/>
    <n v="920"/>
    <n v="1840"/>
    <x v="2"/>
    <x v="1"/>
    <x v="1"/>
  </r>
  <r>
    <n v="1006"/>
    <x v="5"/>
    <x v="5"/>
    <x v="0"/>
    <n v="1"/>
    <n v="13225"/>
    <n v="13225"/>
    <x v="1"/>
    <x v="2"/>
    <x v="2"/>
  </r>
  <r>
    <n v="1007"/>
    <x v="6"/>
    <x v="6"/>
    <x v="3"/>
    <n v="3"/>
    <n v="621"/>
    <n v="1863"/>
    <x v="3"/>
    <x v="0"/>
    <x v="1"/>
  </r>
  <r>
    <n v="1008"/>
    <x v="7"/>
    <x v="7"/>
    <x v="1"/>
    <n v="2"/>
    <n v="905"/>
    <n v="1810"/>
    <x v="4"/>
    <x v="1"/>
    <x v="2"/>
  </r>
  <r>
    <n v="1009"/>
    <x v="8"/>
    <x v="8"/>
    <x v="0"/>
    <n v="1"/>
    <n v="8563"/>
    <n v="8563"/>
    <x v="3"/>
    <x v="2"/>
    <x v="0"/>
  </r>
  <r>
    <n v="1010"/>
    <x v="9"/>
    <x v="9"/>
    <x v="2"/>
    <n v="1"/>
    <n v="268"/>
    <n v="268"/>
    <x v="0"/>
    <x v="1"/>
    <x v="1"/>
  </r>
  <r>
    <n v="1011"/>
    <x v="10"/>
    <x v="0"/>
    <x v="0"/>
    <n v="2"/>
    <n v="54018"/>
    <n v="108036"/>
    <x v="3"/>
    <x v="2"/>
    <x v="0"/>
  </r>
  <r>
    <n v="1012"/>
    <x v="11"/>
    <x v="1"/>
    <x v="0"/>
    <n v="3"/>
    <n v="4762"/>
    <n v="14286"/>
    <x v="1"/>
    <x v="2"/>
    <x v="1"/>
  </r>
  <r>
    <n v="1013"/>
    <x v="12"/>
    <x v="2"/>
    <x v="1"/>
    <n v="2"/>
    <n v="4880"/>
    <n v="9760"/>
    <x v="2"/>
    <x v="2"/>
    <x v="2"/>
  </r>
  <r>
    <n v="1014"/>
    <x v="13"/>
    <x v="3"/>
    <x v="2"/>
    <n v="1"/>
    <n v="8508"/>
    <n v="8508"/>
    <x v="0"/>
    <x v="2"/>
    <x v="0"/>
  </r>
  <r>
    <n v="1015"/>
    <x v="14"/>
    <x v="4"/>
    <x v="2"/>
    <n v="4"/>
    <n v="119"/>
    <n v="476"/>
    <x v="0"/>
    <x v="1"/>
    <x v="1"/>
  </r>
  <r>
    <n v="1016"/>
    <x v="15"/>
    <x v="5"/>
    <x v="0"/>
    <n v="1"/>
    <n v="37589"/>
    <n v="37589"/>
    <x v="5"/>
    <x v="1"/>
    <x v="2"/>
  </r>
  <r>
    <n v="1017"/>
    <x v="16"/>
    <x v="6"/>
    <x v="3"/>
    <n v="1"/>
    <n v="781"/>
    <n v="781"/>
    <x v="1"/>
    <x v="0"/>
    <x v="1"/>
  </r>
  <r>
    <n v="1018"/>
    <x v="17"/>
    <x v="7"/>
    <x v="1"/>
    <n v="5"/>
    <n v="809"/>
    <n v="4045"/>
    <x v="5"/>
    <x v="0"/>
    <x v="1"/>
  </r>
  <r>
    <n v="1019"/>
    <x v="18"/>
    <x v="8"/>
    <x v="0"/>
    <n v="2"/>
    <n v="4129"/>
    <n v="8258"/>
    <x v="2"/>
    <x v="0"/>
    <x v="1"/>
  </r>
  <r>
    <n v="1020"/>
    <x v="19"/>
    <x v="9"/>
    <x v="2"/>
    <n v="4"/>
    <n v="168"/>
    <n v="672"/>
    <x v="1"/>
    <x v="2"/>
    <x v="2"/>
  </r>
  <r>
    <n v="1021"/>
    <x v="20"/>
    <x v="0"/>
    <x v="0"/>
    <n v="2"/>
    <n v="68516"/>
    <n v="137032"/>
    <x v="2"/>
    <x v="0"/>
    <x v="2"/>
  </r>
  <r>
    <n v="1022"/>
    <x v="21"/>
    <x v="1"/>
    <x v="0"/>
    <n v="1"/>
    <n v="3985"/>
    <n v="3985"/>
    <x v="5"/>
    <x v="1"/>
    <x v="0"/>
  </r>
  <r>
    <n v="1023"/>
    <x v="22"/>
    <x v="2"/>
    <x v="1"/>
    <n v="1"/>
    <n v="2380"/>
    <n v="2380"/>
    <x v="5"/>
    <x v="2"/>
    <x v="1"/>
  </r>
  <r>
    <n v="1024"/>
    <x v="23"/>
    <x v="3"/>
    <x v="2"/>
    <n v="3"/>
    <n v="13522"/>
    <n v="40566"/>
    <x v="4"/>
    <x v="1"/>
    <x v="1"/>
  </r>
  <r>
    <n v="1025"/>
    <x v="24"/>
    <x v="4"/>
    <x v="2"/>
    <n v="1"/>
    <n v="340"/>
    <n v="340"/>
    <x v="2"/>
    <x v="0"/>
    <x v="2"/>
  </r>
  <r>
    <n v="1026"/>
    <x v="25"/>
    <x v="5"/>
    <x v="0"/>
    <n v="1"/>
    <n v="34153"/>
    <n v="34153"/>
    <x v="4"/>
    <x v="2"/>
    <x v="1"/>
  </r>
  <r>
    <n v="1027"/>
    <x v="26"/>
    <x v="6"/>
    <x v="3"/>
    <n v="1"/>
    <n v="884"/>
    <n v="884"/>
    <x v="1"/>
    <x v="2"/>
    <x v="1"/>
  </r>
  <r>
    <n v="1028"/>
    <x v="27"/>
    <x v="7"/>
    <x v="1"/>
    <n v="1"/>
    <n v="1961"/>
    <n v="1961"/>
    <x v="2"/>
    <x v="1"/>
    <x v="2"/>
  </r>
  <r>
    <n v="1029"/>
    <x v="28"/>
    <x v="8"/>
    <x v="0"/>
    <n v="1"/>
    <n v="7608"/>
    <n v="7608"/>
    <x v="2"/>
    <x v="0"/>
    <x v="1"/>
  </r>
  <r>
    <n v="1030"/>
    <x v="29"/>
    <x v="9"/>
    <x v="2"/>
    <n v="5"/>
    <n v="126"/>
    <n v="630"/>
    <x v="3"/>
    <x v="0"/>
    <x v="2"/>
  </r>
  <r>
    <n v="1031"/>
    <x v="30"/>
    <x v="0"/>
    <x v="0"/>
    <n v="1"/>
    <n v="68088"/>
    <n v="68088"/>
    <x v="3"/>
    <x v="1"/>
    <x v="2"/>
  </r>
  <r>
    <n v="1032"/>
    <x v="31"/>
    <x v="1"/>
    <x v="0"/>
    <n v="3"/>
    <n v="2723"/>
    <n v="8169"/>
    <x v="1"/>
    <x v="1"/>
    <x v="1"/>
  </r>
  <r>
    <n v="1033"/>
    <x v="32"/>
    <x v="2"/>
    <x v="1"/>
    <n v="1"/>
    <n v="4157"/>
    <n v="4157"/>
    <x v="5"/>
    <x v="1"/>
    <x v="2"/>
  </r>
  <r>
    <n v="1034"/>
    <x v="33"/>
    <x v="3"/>
    <x v="2"/>
    <n v="3"/>
    <n v="3589"/>
    <n v="10767"/>
    <x v="2"/>
    <x v="2"/>
    <x v="1"/>
  </r>
  <r>
    <n v="1035"/>
    <x v="34"/>
    <x v="4"/>
    <x v="2"/>
    <n v="3"/>
    <n v="414"/>
    <n v="1242"/>
    <x v="1"/>
    <x v="2"/>
    <x v="1"/>
  </r>
  <r>
    <n v="1036"/>
    <x v="35"/>
    <x v="5"/>
    <x v="0"/>
    <n v="2"/>
    <n v="15134"/>
    <n v="30268"/>
    <x v="4"/>
    <x v="2"/>
    <x v="0"/>
  </r>
  <r>
    <n v="1037"/>
    <x v="36"/>
    <x v="6"/>
    <x v="3"/>
    <n v="5"/>
    <n v="605"/>
    <n v="3025"/>
    <x v="3"/>
    <x v="2"/>
    <x v="0"/>
  </r>
  <r>
    <n v="1038"/>
    <x v="37"/>
    <x v="7"/>
    <x v="1"/>
    <n v="3"/>
    <n v="1857"/>
    <n v="5571"/>
    <x v="1"/>
    <x v="2"/>
    <x v="0"/>
  </r>
  <r>
    <n v="1039"/>
    <x v="38"/>
    <x v="8"/>
    <x v="0"/>
    <n v="1"/>
    <n v="5190"/>
    <n v="5190"/>
    <x v="0"/>
    <x v="2"/>
    <x v="2"/>
  </r>
  <r>
    <n v="1040"/>
    <x v="39"/>
    <x v="9"/>
    <x v="2"/>
    <n v="4"/>
    <n v="338"/>
    <n v="1352"/>
    <x v="4"/>
    <x v="0"/>
    <x v="2"/>
  </r>
  <r>
    <n v="1041"/>
    <x v="40"/>
    <x v="0"/>
    <x v="0"/>
    <n v="1"/>
    <n v="52555"/>
    <n v="52555"/>
    <x v="3"/>
    <x v="1"/>
    <x v="2"/>
  </r>
  <r>
    <n v="1042"/>
    <x v="41"/>
    <x v="1"/>
    <x v="0"/>
    <n v="1"/>
    <n v="2478"/>
    <n v="2478"/>
    <x v="1"/>
    <x v="2"/>
    <x v="1"/>
  </r>
  <r>
    <n v="1043"/>
    <x v="42"/>
    <x v="2"/>
    <x v="1"/>
    <n v="2"/>
    <n v="4368"/>
    <n v="8736"/>
    <x v="0"/>
    <x v="2"/>
    <x v="2"/>
  </r>
  <r>
    <n v="1044"/>
    <x v="43"/>
    <x v="3"/>
    <x v="2"/>
    <n v="5"/>
    <n v="4294"/>
    <n v="21470"/>
    <x v="2"/>
    <x v="2"/>
    <x v="1"/>
  </r>
  <r>
    <n v="1045"/>
    <x v="44"/>
    <x v="4"/>
    <x v="2"/>
    <n v="5"/>
    <n v="877"/>
    <n v="4385"/>
    <x v="0"/>
    <x v="0"/>
    <x v="0"/>
  </r>
  <r>
    <n v="1046"/>
    <x v="45"/>
    <x v="5"/>
    <x v="0"/>
    <n v="2"/>
    <n v="35059"/>
    <n v="70118"/>
    <x v="3"/>
    <x v="0"/>
    <x v="1"/>
  </r>
  <r>
    <n v="1047"/>
    <x v="46"/>
    <x v="6"/>
    <x v="3"/>
    <n v="3"/>
    <n v="935"/>
    <n v="2805"/>
    <x v="0"/>
    <x v="1"/>
    <x v="1"/>
  </r>
  <r>
    <n v="1048"/>
    <x v="47"/>
    <x v="7"/>
    <x v="1"/>
    <n v="1"/>
    <n v="1978"/>
    <n v="1978"/>
    <x v="0"/>
    <x v="1"/>
    <x v="0"/>
  </r>
  <r>
    <n v="1049"/>
    <x v="48"/>
    <x v="8"/>
    <x v="0"/>
    <n v="2"/>
    <n v="14326"/>
    <n v="28652"/>
    <x v="5"/>
    <x v="0"/>
    <x v="0"/>
  </r>
  <r>
    <n v="1050"/>
    <x v="49"/>
    <x v="9"/>
    <x v="2"/>
    <n v="3"/>
    <n v="100"/>
    <n v="300"/>
    <x v="5"/>
    <x v="1"/>
    <x v="0"/>
  </r>
  <r>
    <n v="1051"/>
    <x v="50"/>
    <x v="0"/>
    <x v="0"/>
    <n v="2"/>
    <n v="54846"/>
    <n v="109692"/>
    <x v="0"/>
    <x v="1"/>
    <x v="2"/>
  </r>
  <r>
    <n v="1052"/>
    <x v="51"/>
    <x v="1"/>
    <x v="0"/>
    <n v="3"/>
    <n v="4855"/>
    <n v="14565"/>
    <x v="0"/>
    <x v="1"/>
    <x v="0"/>
  </r>
  <r>
    <n v="1053"/>
    <x v="52"/>
    <x v="2"/>
    <x v="1"/>
    <n v="3"/>
    <n v="1718"/>
    <n v="5154"/>
    <x v="3"/>
    <x v="0"/>
    <x v="1"/>
  </r>
  <r>
    <n v="1054"/>
    <x v="53"/>
    <x v="3"/>
    <x v="2"/>
    <n v="5"/>
    <n v="17415"/>
    <n v="87075"/>
    <x v="2"/>
    <x v="1"/>
    <x v="2"/>
  </r>
  <r>
    <n v="1055"/>
    <x v="54"/>
    <x v="4"/>
    <x v="2"/>
    <n v="3"/>
    <n v="661"/>
    <n v="1983"/>
    <x v="5"/>
    <x v="1"/>
    <x v="1"/>
  </r>
  <r>
    <n v="1056"/>
    <x v="55"/>
    <x v="5"/>
    <x v="0"/>
    <n v="2"/>
    <n v="30075"/>
    <n v="60150"/>
    <x v="2"/>
    <x v="2"/>
    <x v="0"/>
  </r>
  <r>
    <n v="1057"/>
    <x v="56"/>
    <x v="6"/>
    <x v="3"/>
    <n v="3"/>
    <n v="387"/>
    <n v="1161"/>
    <x v="3"/>
    <x v="0"/>
    <x v="0"/>
  </r>
  <r>
    <n v="1058"/>
    <x v="57"/>
    <x v="7"/>
    <x v="1"/>
    <n v="5"/>
    <n v="1084"/>
    <n v="5420"/>
    <x v="5"/>
    <x v="1"/>
    <x v="1"/>
  </r>
  <r>
    <n v="1059"/>
    <x v="58"/>
    <x v="8"/>
    <x v="0"/>
    <n v="1"/>
    <n v="11559"/>
    <n v="11559"/>
    <x v="5"/>
    <x v="1"/>
    <x v="0"/>
  </r>
  <r>
    <n v="1060"/>
    <x v="59"/>
    <x v="9"/>
    <x v="2"/>
    <n v="5"/>
    <n v="717"/>
    <n v="3585"/>
    <x v="1"/>
    <x v="0"/>
    <x v="1"/>
  </r>
  <r>
    <n v="1061"/>
    <x v="60"/>
    <x v="0"/>
    <x v="0"/>
    <n v="2"/>
    <n v="51590"/>
    <n v="103180"/>
    <x v="2"/>
    <x v="2"/>
    <x v="2"/>
  </r>
  <r>
    <n v="1062"/>
    <x v="61"/>
    <x v="1"/>
    <x v="0"/>
    <n v="2"/>
    <n v="2555"/>
    <n v="5110"/>
    <x v="4"/>
    <x v="1"/>
    <x v="1"/>
  </r>
  <r>
    <n v="1063"/>
    <x v="62"/>
    <x v="2"/>
    <x v="1"/>
    <n v="3"/>
    <n v="3601"/>
    <n v="10803"/>
    <x v="2"/>
    <x v="1"/>
    <x v="2"/>
  </r>
  <r>
    <n v="1064"/>
    <x v="63"/>
    <x v="3"/>
    <x v="2"/>
    <n v="5"/>
    <n v="9924"/>
    <n v="49620"/>
    <x v="0"/>
    <x v="0"/>
    <x v="1"/>
  </r>
  <r>
    <n v="1065"/>
    <x v="64"/>
    <x v="4"/>
    <x v="2"/>
    <n v="5"/>
    <n v="511"/>
    <n v="2555"/>
    <x v="1"/>
    <x v="2"/>
    <x v="2"/>
  </r>
  <r>
    <n v="1066"/>
    <x v="65"/>
    <x v="5"/>
    <x v="0"/>
    <n v="1"/>
    <n v="29247"/>
    <n v="29247"/>
    <x v="1"/>
    <x v="1"/>
    <x v="2"/>
  </r>
  <r>
    <n v="1067"/>
    <x v="66"/>
    <x v="6"/>
    <x v="3"/>
    <n v="4"/>
    <n v="699"/>
    <n v="2796"/>
    <x v="2"/>
    <x v="0"/>
    <x v="1"/>
  </r>
  <r>
    <n v="1068"/>
    <x v="67"/>
    <x v="7"/>
    <x v="1"/>
    <n v="5"/>
    <n v="566"/>
    <n v="2830"/>
    <x v="3"/>
    <x v="2"/>
    <x v="2"/>
  </r>
  <r>
    <n v="1069"/>
    <x v="68"/>
    <x v="8"/>
    <x v="0"/>
    <n v="1"/>
    <n v="5629"/>
    <n v="5629"/>
    <x v="4"/>
    <x v="0"/>
    <x v="1"/>
  </r>
  <r>
    <n v="1070"/>
    <x v="69"/>
    <x v="9"/>
    <x v="2"/>
    <n v="3"/>
    <n v="579"/>
    <n v="1737"/>
    <x v="1"/>
    <x v="2"/>
    <x v="0"/>
  </r>
  <r>
    <n v="1071"/>
    <x v="70"/>
    <x v="0"/>
    <x v="0"/>
    <n v="2"/>
    <n v="58940"/>
    <n v="117880"/>
    <x v="2"/>
    <x v="1"/>
    <x v="0"/>
  </r>
  <r>
    <n v="1072"/>
    <x v="71"/>
    <x v="1"/>
    <x v="0"/>
    <n v="1"/>
    <n v="3615"/>
    <n v="3615"/>
    <x v="2"/>
    <x v="1"/>
    <x v="1"/>
  </r>
  <r>
    <n v="1073"/>
    <x v="72"/>
    <x v="2"/>
    <x v="1"/>
    <n v="3"/>
    <n v="3472"/>
    <n v="10416"/>
    <x v="1"/>
    <x v="0"/>
    <x v="2"/>
  </r>
  <r>
    <n v="1074"/>
    <x v="73"/>
    <x v="3"/>
    <x v="2"/>
    <n v="1"/>
    <n v="2976"/>
    <n v="2976"/>
    <x v="1"/>
    <x v="2"/>
    <x v="0"/>
  </r>
  <r>
    <n v="1075"/>
    <x v="74"/>
    <x v="4"/>
    <x v="2"/>
    <n v="3"/>
    <n v="359"/>
    <n v="1077"/>
    <x v="4"/>
    <x v="0"/>
    <x v="0"/>
  </r>
  <r>
    <n v="1076"/>
    <x v="75"/>
    <x v="5"/>
    <x v="0"/>
    <n v="1"/>
    <n v="20775"/>
    <n v="20775"/>
    <x v="4"/>
    <x v="1"/>
    <x v="2"/>
  </r>
  <r>
    <n v="1077"/>
    <x v="76"/>
    <x v="6"/>
    <x v="3"/>
    <n v="4"/>
    <n v="920"/>
    <n v="3680"/>
    <x v="1"/>
    <x v="1"/>
    <x v="0"/>
  </r>
  <r>
    <n v="1078"/>
    <x v="77"/>
    <x v="7"/>
    <x v="1"/>
    <n v="2"/>
    <n v="907"/>
    <n v="1814"/>
    <x v="2"/>
    <x v="0"/>
    <x v="1"/>
  </r>
  <r>
    <n v="1079"/>
    <x v="78"/>
    <x v="8"/>
    <x v="0"/>
    <n v="1"/>
    <n v="13388"/>
    <n v="13388"/>
    <x v="2"/>
    <x v="2"/>
    <x v="2"/>
  </r>
  <r>
    <n v="1080"/>
    <x v="79"/>
    <x v="9"/>
    <x v="2"/>
    <n v="2"/>
    <n v="372"/>
    <n v="744"/>
    <x v="3"/>
    <x v="1"/>
    <x v="1"/>
  </r>
  <r>
    <n v="1081"/>
    <x v="80"/>
    <x v="0"/>
    <x v="0"/>
    <n v="1"/>
    <n v="44531"/>
    <n v="44531"/>
    <x v="1"/>
    <x v="0"/>
    <x v="2"/>
  </r>
  <r>
    <n v="1082"/>
    <x v="81"/>
    <x v="1"/>
    <x v="0"/>
    <n v="2"/>
    <n v="1963"/>
    <n v="3926"/>
    <x v="3"/>
    <x v="0"/>
    <x v="0"/>
  </r>
  <r>
    <n v="1083"/>
    <x v="82"/>
    <x v="2"/>
    <x v="1"/>
    <n v="1"/>
    <n v="2483"/>
    <n v="2483"/>
    <x v="2"/>
    <x v="1"/>
    <x v="0"/>
  </r>
  <r>
    <n v="1084"/>
    <x v="83"/>
    <x v="3"/>
    <x v="2"/>
    <n v="5"/>
    <n v="18677"/>
    <n v="93385"/>
    <x v="5"/>
    <x v="1"/>
    <x v="2"/>
  </r>
  <r>
    <n v="1085"/>
    <x v="84"/>
    <x v="4"/>
    <x v="2"/>
    <n v="1"/>
    <n v="583"/>
    <n v="583"/>
    <x v="2"/>
    <x v="1"/>
    <x v="0"/>
  </r>
  <r>
    <n v="1086"/>
    <x v="85"/>
    <x v="5"/>
    <x v="0"/>
    <n v="1"/>
    <n v="34775"/>
    <n v="34775"/>
    <x v="2"/>
    <x v="2"/>
    <x v="0"/>
  </r>
  <r>
    <n v="1087"/>
    <x v="86"/>
    <x v="6"/>
    <x v="3"/>
    <n v="3"/>
    <n v="635"/>
    <n v="1905"/>
    <x v="2"/>
    <x v="1"/>
    <x v="0"/>
  </r>
  <r>
    <n v="1088"/>
    <x v="87"/>
    <x v="7"/>
    <x v="1"/>
    <n v="5"/>
    <n v="527"/>
    <n v="2635"/>
    <x v="2"/>
    <x v="2"/>
    <x v="2"/>
  </r>
  <r>
    <n v="1089"/>
    <x v="88"/>
    <x v="8"/>
    <x v="0"/>
    <n v="2"/>
    <n v="3327"/>
    <n v="6654"/>
    <x v="5"/>
    <x v="2"/>
    <x v="2"/>
  </r>
  <r>
    <n v="1090"/>
    <x v="89"/>
    <x v="9"/>
    <x v="2"/>
    <n v="1"/>
    <n v="383"/>
    <n v="383"/>
    <x v="3"/>
    <x v="1"/>
    <x v="1"/>
  </r>
  <r>
    <n v="1091"/>
    <x v="90"/>
    <x v="0"/>
    <x v="0"/>
    <n v="1"/>
    <n v="61156"/>
    <n v="61156"/>
    <x v="0"/>
    <x v="0"/>
    <x v="1"/>
  </r>
  <r>
    <n v="1092"/>
    <x v="91"/>
    <x v="1"/>
    <x v="0"/>
    <n v="1"/>
    <n v="3607"/>
    <n v="3607"/>
    <x v="1"/>
    <x v="2"/>
    <x v="2"/>
  </r>
  <r>
    <n v="1093"/>
    <x v="92"/>
    <x v="2"/>
    <x v="1"/>
    <n v="3"/>
    <n v="3055"/>
    <n v="9165"/>
    <x v="2"/>
    <x v="0"/>
    <x v="2"/>
  </r>
  <r>
    <n v="1094"/>
    <x v="93"/>
    <x v="3"/>
    <x v="2"/>
    <n v="4"/>
    <n v="18106"/>
    <n v="72424"/>
    <x v="2"/>
    <x v="1"/>
    <x v="2"/>
  </r>
  <r>
    <n v="1095"/>
    <x v="94"/>
    <x v="4"/>
    <x v="2"/>
    <n v="5"/>
    <n v="103"/>
    <n v="515"/>
    <x v="1"/>
    <x v="0"/>
    <x v="1"/>
  </r>
  <r>
    <n v="1096"/>
    <x v="95"/>
    <x v="5"/>
    <x v="0"/>
    <n v="1"/>
    <n v="13217"/>
    <n v="13217"/>
    <x v="2"/>
    <x v="2"/>
    <x v="0"/>
  </r>
  <r>
    <n v="1097"/>
    <x v="96"/>
    <x v="6"/>
    <x v="3"/>
    <n v="2"/>
    <n v="511"/>
    <n v="1022"/>
    <x v="3"/>
    <x v="0"/>
    <x v="2"/>
  </r>
  <r>
    <n v="1098"/>
    <x v="97"/>
    <x v="7"/>
    <x v="1"/>
    <n v="2"/>
    <n v="513"/>
    <n v="1026"/>
    <x v="5"/>
    <x v="0"/>
    <x v="1"/>
  </r>
  <r>
    <n v="1099"/>
    <x v="98"/>
    <x v="8"/>
    <x v="0"/>
    <n v="2"/>
    <n v="6283"/>
    <n v="12566"/>
    <x v="0"/>
    <x v="0"/>
    <x v="1"/>
  </r>
  <r>
    <n v="1100"/>
    <x v="99"/>
    <x v="9"/>
    <x v="2"/>
    <n v="4"/>
    <n v="552"/>
    <n v="2208"/>
    <x v="1"/>
    <x v="0"/>
    <x v="2"/>
  </r>
  <r>
    <n v="1101"/>
    <x v="100"/>
    <x v="0"/>
    <x v="0"/>
    <n v="1"/>
    <n v="56441"/>
    <n v="56441"/>
    <x v="0"/>
    <x v="2"/>
    <x v="0"/>
  </r>
  <r>
    <n v="1102"/>
    <x v="101"/>
    <x v="1"/>
    <x v="0"/>
    <n v="2"/>
    <n v="4833"/>
    <n v="9666"/>
    <x v="3"/>
    <x v="0"/>
    <x v="1"/>
  </r>
  <r>
    <n v="1103"/>
    <x v="102"/>
    <x v="2"/>
    <x v="1"/>
    <n v="1"/>
    <n v="1314"/>
    <n v="1314"/>
    <x v="3"/>
    <x v="0"/>
    <x v="0"/>
  </r>
  <r>
    <n v="1104"/>
    <x v="103"/>
    <x v="3"/>
    <x v="2"/>
    <n v="1"/>
    <n v="5201"/>
    <n v="5201"/>
    <x v="0"/>
    <x v="1"/>
    <x v="2"/>
  </r>
  <r>
    <n v="1105"/>
    <x v="104"/>
    <x v="4"/>
    <x v="2"/>
    <n v="2"/>
    <n v="469"/>
    <n v="938"/>
    <x v="0"/>
    <x v="1"/>
    <x v="0"/>
  </r>
  <r>
    <n v="1106"/>
    <x v="105"/>
    <x v="5"/>
    <x v="0"/>
    <n v="2"/>
    <n v="24448"/>
    <n v="48896"/>
    <x v="2"/>
    <x v="1"/>
    <x v="1"/>
  </r>
  <r>
    <n v="1107"/>
    <x v="106"/>
    <x v="6"/>
    <x v="3"/>
    <n v="3"/>
    <n v="378"/>
    <n v="1134"/>
    <x v="5"/>
    <x v="1"/>
    <x v="1"/>
  </r>
  <r>
    <n v="1108"/>
    <x v="107"/>
    <x v="7"/>
    <x v="1"/>
    <n v="1"/>
    <n v="1310"/>
    <n v="1310"/>
    <x v="5"/>
    <x v="1"/>
    <x v="1"/>
  </r>
  <r>
    <n v="1109"/>
    <x v="108"/>
    <x v="8"/>
    <x v="0"/>
    <n v="1"/>
    <n v="5590"/>
    <n v="5590"/>
    <x v="5"/>
    <x v="2"/>
    <x v="2"/>
  </r>
  <r>
    <n v="1110"/>
    <x v="109"/>
    <x v="9"/>
    <x v="2"/>
    <n v="3"/>
    <n v="405"/>
    <n v="1215"/>
    <x v="1"/>
    <x v="0"/>
    <x v="2"/>
  </r>
  <r>
    <n v="1111"/>
    <x v="110"/>
    <x v="0"/>
    <x v="0"/>
    <n v="1"/>
    <n v="51984"/>
    <n v="51984"/>
    <x v="4"/>
    <x v="0"/>
    <x v="2"/>
  </r>
  <r>
    <n v="1112"/>
    <x v="111"/>
    <x v="1"/>
    <x v="0"/>
    <n v="3"/>
    <n v="2766"/>
    <n v="8298"/>
    <x v="0"/>
    <x v="2"/>
    <x v="2"/>
  </r>
  <r>
    <n v="1113"/>
    <x v="112"/>
    <x v="2"/>
    <x v="1"/>
    <n v="3"/>
    <n v="2625"/>
    <n v="7875"/>
    <x v="5"/>
    <x v="0"/>
    <x v="1"/>
  </r>
  <r>
    <n v="1114"/>
    <x v="113"/>
    <x v="3"/>
    <x v="2"/>
    <n v="2"/>
    <n v="2573"/>
    <n v="5146"/>
    <x v="2"/>
    <x v="2"/>
    <x v="1"/>
  </r>
  <r>
    <n v="1115"/>
    <x v="114"/>
    <x v="4"/>
    <x v="2"/>
    <n v="2"/>
    <n v="798"/>
    <n v="1596"/>
    <x v="1"/>
    <x v="0"/>
    <x v="2"/>
  </r>
  <r>
    <n v="1116"/>
    <x v="115"/>
    <x v="5"/>
    <x v="0"/>
    <n v="2"/>
    <n v="31517"/>
    <n v="63034"/>
    <x v="5"/>
    <x v="0"/>
    <x v="0"/>
  </r>
  <r>
    <n v="1117"/>
    <x v="116"/>
    <x v="6"/>
    <x v="3"/>
    <n v="1"/>
    <n v="343"/>
    <n v="343"/>
    <x v="0"/>
    <x v="2"/>
    <x v="1"/>
  </r>
  <r>
    <n v="1118"/>
    <x v="117"/>
    <x v="7"/>
    <x v="1"/>
    <n v="3"/>
    <n v="1021"/>
    <n v="3063"/>
    <x v="0"/>
    <x v="2"/>
    <x v="2"/>
  </r>
  <r>
    <n v="1119"/>
    <x v="118"/>
    <x v="8"/>
    <x v="0"/>
    <n v="1"/>
    <n v="8543"/>
    <n v="8543"/>
    <x v="5"/>
    <x v="0"/>
    <x v="0"/>
  </r>
  <r>
    <n v="1120"/>
    <x v="119"/>
    <x v="9"/>
    <x v="2"/>
    <n v="2"/>
    <n v="235"/>
    <n v="470"/>
    <x v="1"/>
    <x v="2"/>
    <x v="0"/>
  </r>
  <r>
    <n v="1121"/>
    <x v="120"/>
    <x v="0"/>
    <x v="0"/>
    <n v="1"/>
    <n v="51840"/>
    <n v="51840"/>
    <x v="1"/>
    <x v="0"/>
    <x v="2"/>
  </r>
  <r>
    <n v="1122"/>
    <x v="121"/>
    <x v="1"/>
    <x v="0"/>
    <n v="2"/>
    <n v="4435"/>
    <n v="8870"/>
    <x v="0"/>
    <x v="0"/>
    <x v="2"/>
  </r>
  <r>
    <n v="1123"/>
    <x v="122"/>
    <x v="2"/>
    <x v="1"/>
    <n v="3"/>
    <n v="2138"/>
    <n v="6414"/>
    <x v="0"/>
    <x v="0"/>
    <x v="0"/>
  </r>
  <r>
    <n v="1124"/>
    <x v="123"/>
    <x v="3"/>
    <x v="2"/>
    <n v="5"/>
    <n v="5434"/>
    <n v="27170"/>
    <x v="3"/>
    <x v="0"/>
    <x v="0"/>
  </r>
  <r>
    <n v="1125"/>
    <x v="124"/>
    <x v="4"/>
    <x v="2"/>
    <n v="1"/>
    <n v="961"/>
    <n v="961"/>
    <x v="0"/>
    <x v="0"/>
    <x v="1"/>
  </r>
  <r>
    <n v="1126"/>
    <x v="125"/>
    <x v="5"/>
    <x v="0"/>
    <n v="2"/>
    <n v="28891"/>
    <n v="57782"/>
    <x v="2"/>
    <x v="1"/>
    <x v="0"/>
  </r>
  <r>
    <n v="1127"/>
    <x v="126"/>
    <x v="6"/>
    <x v="3"/>
    <n v="3"/>
    <n v="433"/>
    <n v="1299"/>
    <x v="5"/>
    <x v="0"/>
    <x v="2"/>
  </r>
  <r>
    <n v="1128"/>
    <x v="127"/>
    <x v="7"/>
    <x v="1"/>
    <n v="2"/>
    <n v="912"/>
    <n v="1824"/>
    <x v="5"/>
    <x v="0"/>
    <x v="2"/>
  </r>
  <r>
    <n v="1129"/>
    <x v="128"/>
    <x v="8"/>
    <x v="0"/>
    <n v="2"/>
    <n v="12792"/>
    <n v="25584"/>
    <x v="0"/>
    <x v="1"/>
    <x v="0"/>
  </r>
  <r>
    <n v="1130"/>
    <x v="129"/>
    <x v="9"/>
    <x v="2"/>
    <n v="3"/>
    <n v="150"/>
    <n v="450"/>
    <x v="4"/>
    <x v="1"/>
    <x v="2"/>
  </r>
  <r>
    <n v="1131"/>
    <x v="130"/>
    <x v="0"/>
    <x v="0"/>
    <n v="1"/>
    <n v="61259"/>
    <n v="61259"/>
    <x v="3"/>
    <x v="1"/>
    <x v="0"/>
  </r>
  <r>
    <n v="1132"/>
    <x v="131"/>
    <x v="1"/>
    <x v="0"/>
    <n v="1"/>
    <n v="2998"/>
    <n v="2998"/>
    <x v="0"/>
    <x v="0"/>
    <x v="0"/>
  </r>
  <r>
    <n v="1133"/>
    <x v="132"/>
    <x v="2"/>
    <x v="1"/>
    <n v="3"/>
    <n v="1682"/>
    <n v="5046"/>
    <x v="3"/>
    <x v="1"/>
    <x v="1"/>
  </r>
  <r>
    <n v="1134"/>
    <x v="133"/>
    <x v="3"/>
    <x v="2"/>
    <n v="1"/>
    <n v="12576"/>
    <n v="12576"/>
    <x v="0"/>
    <x v="0"/>
    <x v="1"/>
  </r>
  <r>
    <n v="1135"/>
    <x v="134"/>
    <x v="4"/>
    <x v="2"/>
    <n v="1"/>
    <n v="740"/>
    <n v="740"/>
    <x v="5"/>
    <x v="2"/>
    <x v="2"/>
  </r>
  <r>
    <n v="1136"/>
    <x v="135"/>
    <x v="5"/>
    <x v="0"/>
    <n v="2"/>
    <n v="38690"/>
    <n v="77380"/>
    <x v="3"/>
    <x v="1"/>
    <x v="1"/>
  </r>
  <r>
    <n v="1137"/>
    <x v="136"/>
    <x v="6"/>
    <x v="3"/>
    <n v="1"/>
    <n v="309"/>
    <n v="309"/>
    <x v="5"/>
    <x v="2"/>
    <x v="0"/>
  </r>
  <r>
    <n v="1138"/>
    <x v="137"/>
    <x v="7"/>
    <x v="1"/>
    <n v="3"/>
    <n v="1670"/>
    <n v="5010"/>
    <x v="3"/>
    <x v="2"/>
    <x v="1"/>
  </r>
  <r>
    <n v="1139"/>
    <x v="138"/>
    <x v="8"/>
    <x v="0"/>
    <n v="1"/>
    <n v="13908"/>
    <n v="13908"/>
    <x v="2"/>
    <x v="0"/>
    <x v="0"/>
  </r>
  <r>
    <n v="1140"/>
    <x v="139"/>
    <x v="9"/>
    <x v="2"/>
    <n v="1"/>
    <n v="619"/>
    <n v="619"/>
    <x v="2"/>
    <x v="1"/>
    <x v="2"/>
  </r>
  <r>
    <n v="1141"/>
    <x v="140"/>
    <x v="0"/>
    <x v="0"/>
    <n v="1"/>
    <n v="58661"/>
    <n v="58661"/>
    <x v="1"/>
    <x v="0"/>
    <x v="2"/>
  </r>
  <r>
    <n v="1142"/>
    <x v="141"/>
    <x v="1"/>
    <x v="0"/>
    <n v="3"/>
    <n v="3441"/>
    <n v="10323"/>
    <x v="2"/>
    <x v="1"/>
    <x v="2"/>
  </r>
  <r>
    <n v="1143"/>
    <x v="142"/>
    <x v="2"/>
    <x v="1"/>
    <n v="2"/>
    <n v="4503"/>
    <n v="9006"/>
    <x v="1"/>
    <x v="1"/>
    <x v="0"/>
  </r>
  <r>
    <n v="1144"/>
    <x v="143"/>
    <x v="3"/>
    <x v="2"/>
    <n v="5"/>
    <n v="10835"/>
    <n v="54175"/>
    <x v="0"/>
    <x v="2"/>
    <x v="1"/>
  </r>
  <r>
    <n v="1145"/>
    <x v="144"/>
    <x v="4"/>
    <x v="2"/>
    <n v="2"/>
    <n v="334"/>
    <n v="668"/>
    <x v="2"/>
    <x v="2"/>
    <x v="1"/>
  </r>
  <r>
    <n v="1146"/>
    <x v="145"/>
    <x v="5"/>
    <x v="0"/>
    <n v="2"/>
    <n v="14992"/>
    <n v="29984"/>
    <x v="1"/>
    <x v="0"/>
    <x v="2"/>
  </r>
  <r>
    <n v="1147"/>
    <x v="146"/>
    <x v="6"/>
    <x v="3"/>
    <n v="3"/>
    <n v="385"/>
    <n v="1155"/>
    <x v="1"/>
    <x v="1"/>
    <x v="0"/>
  </r>
  <r>
    <n v="1148"/>
    <x v="147"/>
    <x v="7"/>
    <x v="1"/>
    <n v="1"/>
    <n v="1196"/>
    <n v="1196"/>
    <x v="5"/>
    <x v="2"/>
    <x v="1"/>
  </r>
  <r>
    <n v="1149"/>
    <x v="148"/>
    <x v="8"/>
    <x v="0"/>
    <n v="2"/>
    <n v="4766"/>
    <n v="9532"/>
    <x v="4"/>
    <x v="2"/>
    <x v="0"/>
  </r>
  <r>
    <n v="1150"/>
    <x v="149"/>
    <x v="9"/>
    <x v="2"/>
    <n v="4"/>
    <n v="317"/>
    <n v="1268"/>
    <x v="0"/>
    <x v="0"/>
    <x v="2"/>
  </r>
  <r>
    <n v="1151"/>
    <x v="150"/>
    <x v="0"/>
    <x v="0"/>
    <n v="2"/>
    <n v="59735"/>
    <n v="119470"/>
    <x v="1"/>
    <x v="2"/>
    <x v="1"/>
  </r>
  <r>
    <n v="1152"/>
    <x v="151"/>
    <x v="1"/>
    <x v="0"/>
    <n v="2"/>
    <n v="3950"/>
    <n v="7900"/>
    <x v="2"/>
    <x v="1"/>
    <x v="1"/>
  </r>
  <r>
    <n v="1153"/>
    <x v="152"/>
    <x v="2"/>
    <x v="1"/>
    <n v="2"/>
    <n v="3263"/>
    <n v="6526"/>
    <x v="0"/>
    <x v="1"/>
    <x v="1"/>
  </r>
  <r>
    <n v="1154"/>
    <x v="153"/>
    <x v="3"/>
    <x v="2"/>
    <n v="4"/>
    <n v="8514"/>
    <n v="34056"/>
    <x v="1"/>
    <x v="1"/>
    <x v="2"/>
  </r>
  <r>
    <n v="1155"/>
    <x v="154"/>
    <x v="4"/>
    <x v="2"/>
    <n v="2"/>
    <n v="172"/>
    <n v="344"/>
    <x v="4"/>
    <x v="0"/>
    <x v="2"/>
  </r>
  <r>
    <n v="1156"/>
    <x v="155"/>
    <x v="5"/>
    <x v="0"/>
    <n v="1"/>
    <n v="21077"/>
    <n v="21077"/>
    <x v="4"/>
    <x v="1"/>
    <x v="1"/>
  </r>
  <r>
    <n v="1157"/>
    <x v="156"/>
    <x v="6"/>
    <x v="3"/>
    <n v="5"/>
    <n v="747"/>
    <n v="3735"/>
    <x v="4"/>
    <x v="2"/>
    <x v="2"/>
  </r>
  <r>
    <n v="1158"/>
    <x v="157"/>
    <x v="7"/>
    <x v="1"/>
    <n v="2"/>
    <n v="850"/>
    <n v="1700"/>
    <x v="2"/>
    <x v="0"/>
    <x v="0"/>
  </r>
  <r>
    <n v="1159"/>
    <x v="158"/>
    <x v="8"/>
    <x v="0"/>
    <n v="2"/>
    <n v="13771"/>
    <n v="27542"/>
    <x v="0"/>
    <x v="0"/>
    <x v="0"/>
  </r>
  <r>
    <n v="1160"/>
    <x v="159"/>
    <x v="9"/>
    <x v="2"/>
    <n v="4"/>
    <n v="258"/>
    <n v="1032"/>
    <x v="4"/>
    <x v="1"/>
    <x v="1"/>
  </r>
  <r>
    <n v="1161"/>
    <x v="160"/>
    <x v="0"/>
    <x v="0"/>
    <n v="2"/>
    <n v="44856"/>
    <n v="89712"/>
    <x v="5"/>
    <x v="1"/>
    <x v="2"/>
  </r>
  <r>
    <n v="1162"/>
    <x v="161"/>
    <x v="1"/>
    <x v="0"/>
    <n v="3"/>
    <n v="3161"/>
    <n v="9483"/>
    <x v="0"/>
    <x v="1"/>
    <x v="2"/>
  </r>
  <r>
    <n v="1163"/>
    <x v="162"/>
    <x v="2"/>
    <x v="1"/>
    <n v="1"/>
    <n v="4464"/>
    <n v="4464"/>
    <x v="0"/>
    <x v="2"/>
    <x v="2"/>
  </r>
  <r>
    <n v="1164"/>
    <x v="163"/>
    <x v="3"/>
    <x v="2"/>
    <n v="1"/>
    <n v="4758"/>
    <n v="4758"/>
    <x v="1"/>
    <x v="2"/>
    <x v="2"/>
  </r>
  <r>
    <n v="1165"/>
    <x v="164"/>
    <x v="4"/>
    <x v="2"/>
    <n v="4"/>
    <n v="490"/>
    <n v="1960"/>
    <x v="0"/>
    <x v="2"/>
    <x v="1"/>
  </r>
  <r>
    <n v="1166"/>
    <x v="165"/>
    <x v="5"/>
    <x v="0"/>
    <n v="1"/>
    <n v="38739"/>
    <n v="38739"/>
    <x v="4"/>
    <x v="0"/>
    <x v="1"/>
  </r>
  <r>
    <n v="1167"/>
    <x v="166"/>
    <x v="6"/>
    <x v="3"/>
    <n v="3"/>
    <n v="368"/>
    <n v="1104"/>
    <x v="0"/>
    <x v="1"/>
    <x v="2"/>
  </r>
  <r>
    <n v="1168"/>
    <x v="167"/>
    <x v="7"/>
    <x v="1"/>
    <n v="1"/>
    <n v="1931"/>
    <n v="1931"/>
    <x v="2"/>
    <x v="1"/>
    <x v="0"/>
  </r>
  <r>
    <n v="1169"/>
    <x v="168"/>
    <x v="8"/>
    <x v="0"/>
    <n v="2"/>
    <n v="14370"/>
    <n v="28740"/>
    <x v="5"/>
    <x v="1"/>
    <x v="1"/>
  </r>
  <r>
    <n v="1170"/>
    <x v="169"/>
    <x v="9"/>
    <x v="2"/>
    <n v="2"/>
    <n v="780"/>
    <n v="1560"/>
    <x v="0"/>
    <x v="2"/>
    <x v="2"/>
  </r>
  <r>
    <n v="1171"/>
    <x v="170"/>
    <x v="0"/>
    <x v="0"/>
    <n v="2"/>
    <n v="54865"/>
    <n v="109730"/>
    <x v="4"/>
    <x v="0"/>
    <x v="1"/>
  </r>
  <r>
    <n v="1172"/>
    <x v="171"/>
    <x v="1"/>
    <x v="0"/>
    <n v="2"/>
    <n v="4481"/>
    <n v="8962"/>
    <x v="3"/>
    <x v="0"/>
    <x v="1"/>
  </r>
  <r>
    <n v="1173"/>
    <x v="172"/>
    <x v="2"/>
    <x v="1"/>
    <n v="2"/>
    <n v="1972"/>
    <n v="3944"/>
    <x v="2"/>
    <x v="0"/>
    <x v="0"/>
  </r>
  <r>
    <n v="1174"/>
    <x v="173"/>
    <x v="3"/>
    <x v="2"/>
    <n v="1"/>
    <n v="9837"/>
    <n v="9837"/>
    <x v="4"/>
    <x v="0"/>
    <x v="0"/>
  </r>
  <r>
    <n v="1175"/>
    <x v="174"/>
    <x v="4"/>
    <x v="2"/>
    <n v="5"/>
    <n v="857"/>
    <n v="4285"/>
    <x v="0"/>
    <x v="1"/>
    <x v="0"/>
  </r>
  <r>
    <n v="1176"/>
    <x v="175"/>
    <x v="5"/>
    <x v="0"/>
    <n v="1"/>
    <n v="20323"/>
    <n v="20323"/>
    <x v="0"/>
    <x v="0"/>
    <x v="0"/>
  </r>
  <r>
    <n v="1177"/>
    <x v="176"/>
    <x v="6"/>
    <x v="3"/>
    <n v="5"/>
    <n v="1000"/>
    <n v="5000"/>
    <x v="4"/>
    <x v="1"/>
    <x v="2"/>
  </r>
  <r>
    <n v="1178"/>
    <x v="177"/>
    <x v="7"/>
    <x v="1"/>
    <n v="5"/>
    <n v="1359"/>
    <n v="6795"/>
    <x v="0"/>
    <x v="2"/>
    <x v="2"/>
  </r>
  <r>
    <n v="1179"/>
    <x v="178"/>
    <x v="8"/>
    <x v="0"/>
    <n v="1"/>
    <n v="14026"/>
    <n v="14026"/>
    <x v="2"/>
    <x v="2"/>
    <x v="0"/>
  </r>
  <r>
    <n v="1180"/>
    <x v="179"/>
    <x v="9"/>
    <x v="2"/>
    <n v="2"/>
    <n v="685"/>
    <n v="1370"/>
    <x v="4"/>
    <x v="1"/>
    <x v="1"/>
  </r>
  <r>
    <n v="1181"/>
    <x v="180"/>
    <x v="0"/>
    <x v="0"/>
    <n v="1"/>
    <n v="54311"/>
    <n v="54311"/>
    <x v="1"/>
    <x v="2"/>
    <x v="1"/>
  </r>
  <r>
    <n v="1182"/>
    <x v="181"/>
    <x v="1"/>
    <x v="0"/>
    <n v="2"/>
    <n v="1713"/>
    <n v="3426"/>
    <x v="2"/>
    <x v="0"/>
    <x v="0"/>
  </r>
  <r>
    <n v="1183"/>
    <x v="182"/>
    <x v="2"/>
    <x v="1"/>
    <n v="2"/>
    <n v="3204"/>
    <n v="6408"/>
    <x v="4"/>
    <x v="2"/>
    <x v="1"/>
  </r>
  <r>
    <n v="1184"/>
    <x v="183"/>
    <x v="3"/>
    <x v="2"/>
    <n v="5"/>
    <n v="18542"/>
    <n v="92710"/>
    <x v="4"/>
    <x v="1"/>
    <x v="1"/>
  </r>
  <r>
    <n v="1185"/>
    <x v="184"/>
    <x v="4"/>
    <x v="2"/>
    <n v="1"/>
    <n v="521"/>
    <n v="521"/>
    <x v="0"/>
    <x v="0"/>
    <x v="1"/>
  </r>
  <r>
    <n v="1186"/>
    <x v="185"/>
    <x v="5"/>
    <x v="0"/>
    <n v="1"/>
    <n v="13218"/>
    <n v="13218"/>
    <x v="4"/>
    <x v="0"/>
    <x v="1"/>
  </r>
  <r>
    <n v="1187"/>
    <x v="186"/>
    <x v="6"/>
    <x v="3"/>
    <n v="2"/>
    <n v="248"/>
    <n v="496"/>
    <x v="2"/>
    <x v="1"/>
    <x v="1"/>
  </r>
  <r>
    <n v="1188"/>
    <x v="187"/>
    <x v="7"/>
    <x v="1"/>
    <n v="4"/>
    <n v="1353"/>
    <n v="5412"/>
    <x v="2"/>
    <x v="2"/>
    <x v="2"/>
  </r>
  <r>
    <n v="1189"/>
    <x v="188"/>
    <x v="8"/>
    <x v="0"/>
    <n v="2"/>
    <n v="13462"/>
    <n v="26924"/>
    <x v="0"/>
    <x v="1"/>
    <x v="2"/>
  </r>
  <r>
    <n v="1190"/>
    <x v="189"/>
    <x v="9"/>
    <x v="2"/>
    <n v="5"/>
    <n v="404"/>
    <n v="2020"/>
    <x v="4"/>
    <x v="1"/>
    <x v="0"/>
  </r>
  <r>
    <n v="1191"/>
    <x v="190"/>
    <x v="0"/>
    <x v="0"/>
    <n v="1"/>
    <n v="59800"/>
    <n v="59800"/>
    <x v="3"/>
    <x v="1"/>
    <x v="2"/>
  </r>
  <r>
    <n v="1192"/>
    <x v="191"/>
    <x v="1"/>
    <x v="0"/>
    <n v="2"/>
    <n v="2639"/>
    <n v="5278"/>
    <x v="1"/>
    <x v="2"/>
    <x v="1"/>
  </r>
  <r>
    <n v="1193"/>
    <x v="192"/>
    <x v="2"/>
    <x v="1"/>
    <n v="1"/>
    <n v="2167"/>
    <n v="2167"/>
    <x v="5"/>
    <x v="0"/>
    <x v="1"/>
  </r>
  <r>
    <n v="1194"/>
    <x v="193"/>
    <x v="3"/>
    <x v="2"/>
    <n v="3"/>
    <n v="8179"/>
    <n v="24537"/>
    <x v="0"/>
    <x v="2"/>
    <x v="0"/>
  </r>
  <r>
    <n v="1195"/>
    <x v="194"/>
    <x v="4"/>
    <x v="2"/>
    <n v="1"/>
    <n v="374"/>
    <n v="374"/>
    <x v="4"/>
    <x v="0"/>
    <x v="0"/>
  </r>
  <r>
    <n v="1196"/>
    <x v="195"/>
    <x v="5"/>
    <x v="0"/>
    <n v="1"/>
    <n v="36595"/>
    <n v="36595"/>
    <x v="2"/>
    <x v="0"/>
    <x v="2"/>
  </r>
  <r>
    <n v="1197"/>
    <x v="196"/>
    <x v="6"/>
    <x v="3"/>
    <n v="5"/>
    <n v="570"/>
    <n v="2850"/>
    <x v="3"/>
    <x v="1"/>
    <x v="1"/>
  </r>
  <r>
    <n v="1198"/>
    <x v="197"/>
    <x v="7"/>
    <x v="1"/>
    <n v="3"/>
    <n v="1005"/>
    <n v="3015"/>
    <x v="3"/>
    <x v="1"/>
    <x v="2"/>
  </r>
  <r>
    <n v="1199"/>
    <x v="198"/>
    <x v="8"/>
    <x v="0"/>
    <n v="2"/>
    <n v="14435"/>
    <n v="28870"/>
    <x v="1"/>
    <x v="1"/>
    <x v="0"/>
  </r>
  <r>
    <n v="1200"/>
    <x v="199"/>
    <x v="9"/>
    <x v="2"/>
    <n v="5"/>
    <n v="351"/>
    <n v="1755"/>
    <x v="4"/>
    <x v="2"/>
    <x v="0"/>
  </r>
  <r>
    <n v="1201"/>
    <x v="200"/>
    <x v="0"/>
    <x v="0"/>
    <n v="2"/>
    <n v="60581"/>
    <n v="121162"/>
    <x v="2"/>
    <x v="0"/>
    <x v="2"/>
  </r>
  <r>
    <n v="1202"/>
    <x v="201"/>
    <x v="1"/>
    <x v="0"/>
    <n v="1"/>
    <n v="2742"/>
    <n v="2742"/>
    <x v="5"/>
    <x v="2"/>
    <x v="2"/>
  </r>
  <r>
    <n v="1203"/>
    <x v="202"/>
    <x v="2"/>
    <x v="1"/>
    <n v="3"/>
    <n v="3576"/>
    <n v="10728"/>
    <x v="3"/>
    <x v="0"/>
    <x v="0"/>
  </r>
  <r>
    <n v="1204"/>
    <x v="203"/>
    <x v="3"/>
    <x v="2"/>
    <n v="4"/>
    <n v="15524"/>
    <n v="62096"/>
    <x v="0"/>
    <x v="1"/>
    <x v="0"/>
  </r>
  <r>
    <n v="1205"/>
    <x v="204"/>
    <x v="4"/>
    <x v="2"/>
    <n v="3"/>
    <n v="973"/>
    <n v="2919"/>
    <x v="2"/>
    <x v="1"/>
    <x v="1"/>
  </r>
  <r>
    <n v="1206"/>
    <x v="205"/>
    <x v="5"/>
    <x v="0"/>
    <n v="2"/>
    <n v="19223"/>
    <n v="38446"/>
    <x v="2"/>
    <x v="0"/>
    <x v="1"/>
  </r>
  <r>
    <n v="1207"/>
    <x v="206"/>
    <x v="6"/>
    <x v="3"/>
    <n v="3"/>
    <n v="197"/>
    <n v="591"/>
    <x v="5"/>
    <x v="2"/>
    <x v="0"/>
  </r>
  <r>
    <n v="1208"/>
    <x v="207"/>
    <x v="7"/>
    <x v="1"/>
    <n v="4"/>
    <n v="1862"/>
    <n v="7448"/>
    <x v="0"/>
    <x v="2"/>
    <x v="1"/>
  </r>
  <r>
    <n v="1209"/>
    <x v="208"/>
    <x v="8"/>
    <x v="0"/>
    <n v="2"/>
    <n v="7732"/>
    <n v="15464"/>
    <x v="4"/>
    <x v="2"/>
    <x v="2"/>
  </r>
  <r>
    <n v="1210"/>
    <x v="209"/>
    <x v="9"/>
    <x v="2"/>
    <n v="3"/>
    <n v="508"/>
    <n v="1524"/>
    <x v="5"/>
    <x v="0"/>
    <x v="2"/>
  </r>
  <r>
    <n v="1211"/>
    <x v="210"/>
    <x v="0"/>
    <x v="0"/>
    <n v="1"/>
    <n v="55970"/>
    <n v="55970"/>
    <x v="2"/>
    <x v="0"/>
    <x v="2"/>
  </r>
  <r>
    <n v="1212"/>
    <x v="211"/>
    <x v="1"/>
    <x v="0"/>
    <n v="2"/>
    <n v="2129"/>
    <n v="4258"/>
    <x v="3"/>
    <x v="2"/>
    <x v="2"/>
  </r>
  <r>
    <n v="1213"/>
    <x v="212"/>
    <x v="2"/>
    <x v="1"/>
    <n v="3"/>
    <n v="2280"/>
    <n v="6840"/>
    <x v="2"/>
    <x v="0"/>
    <x v="1"/>
  </r>
  <r>
    <n v="1214"/>
    <x v="213"/>
    <x v="3"/>
    <x v="2"/>
    <n v="1"/>
    <n v="2260"/>
    <n v="2260"/>
    <x v="1"/>
    <x v="0"/>
    <x v="0"/>
  </r>
  <r>
    <n v="1215"/>
    <x v="214"/>
    <x v="4"/>
    <x v="2"/>
    <n v="4"/>
    <n v="962"/>
    <n v="3848"/>
    <x v="3"/>
    <x v="0"/>
    <x v="1"/>
  </r>
  <r>
    <n v="1216"/>
    <x v="215"/>
    <x v="5"/>
    <x v="0"/>
    <n v="2"/>
    <n v="12775"/>
    <n v="25550"/>
    <x v="4"/>
    <x v="2"/>
    <x v="0"/>
  </r>
  <r>
    <n v="1217"/>
    <x v="216"/>
    <x v="6"/>
    <x v="3"/>
    <n v="2"/>
    <n v="685"/>
    <n v="1370"/>
    <x v="0"/>
    <x v="1"/>
    <x v="2"/>
  </r>
  <r>
    <n v="1218"/>
    <x v="217"/>
    <x v="7"/>
    <x v="1"/>
    <n v="4"/>
    <n v="1218"/>
    <n v="4872"/>
    <x v="5"/>
    <x v="1"/>
    <x v="2"/>
  </r>
  <r>
    <n v="1219"/>
    <x v="218"/>
    <x v="8"/>
    <x v="0"/>
    <n v="1"/>
    <n v="4031"/>
    <n v="4031"/>
    <x v="2"/>
    <x v="0"/>
    <x v="0"/>
  </r>
  <r>
    <n v="1220"/>
    <x v="219"/>
    <x v="9"/>
    <x v="2"/>
    <n v="2"/>
    <n v="140"/>
    <n v="280"/>
    <x v="4"/>
    <x v="0"/>
    <x v="0"/>
  </r>
  <r>
    <n v="1221"/>
    <x v="220"/>
    <x v="0"/>
    <x v="0"/>
    <n v="2"/>
    <n v="54557"/>
    <n v="109114"/>
    <x v="3"/>
    <x v="2"/>
    <x v="2"/>
  </r>
  <r>
    <n v="1222"/>
    <x v="221"/>
    <x v="1"/>
    <x v="0"/>
    <n v="2"/>
    <n v="1892"/>
    <n v="3784"/>
    <x v="4"/>
    <x v="0"/>
    <x v="0"/>
  </r>
  <r>
    <n v="1223"/>
    <x v="222"/>
    <x v="2"/>
    <x v="1"/>
    <n v="3"/>
    <n v="3197"/>
    <n v="9591"/>
    <x v="1"/>
    <x v="0"/>
    <x v="2"/>
  </r>
  <r>
    <n v="1224"/>
    <x v="223"/>
    <x v="3"/>
    <x v="2"/>
    <n v="5"/>
    <n v="10225"/>
    <n v="51125"/>
    <x v="1"/>
    <x v="2"/>
    <x v="2"/>
  </r>
  <r>
    <n v="1225"/>
    <x v="224"/>
    <x v="4"/>
    <x v="2"/>
    <n v="2"/>
    <n v="899"/>
    <n v="1798"/>
    <x v="5"/>
    <x v="1"/>
    <x v="1"/>
  </r>
  <r>
    <n v="1226"/>
    <x v="225"/>
    <x v="5"/>
    <x v="0"/>
    <n v="1"/>
    <n v="32743"/>
    <n v="32743"/>
    <x v="5"/>
    <x v="0"/>
    <x v="0"/>
  </r>
  <r>
    <n v="1227"/>
    <x v="226"/>
    <x v="6"/>
    <x v="3"/>
    <n v="3"/>
    <n v="736"/>
    <n v="2208"/>
    <x v="4"/>
    <x v="2"/>
    <x v="2"/>
  </r>
  <r>
    <n v="1228"/>
    <x v="227"/>
    <x v="7"/>
    <x v="1"/>
    <n v="4"/>
    <n v="1504"/>
    <n v="6016"/>
    <x v="1"/>
    <x v="0"/>
    <x v="2"/>
  </r>
  <r>
    <n v="1229"/>
    <x v="228"/>
    <x v="8"/>
    <x v="0"/>
    <n v="2"/>
    <n v="7086"/>
    <n v="14172"/>
    <x v="2"/>
    <x v="0"/>
    <x v="0"/>
  </r>
  <r>
    <n v="1230"/>
    <x v="229"/>
    <x v="9"/>
    <x v="2"/>
    <n v="1"/>
    <n v="783"/>
    <n v="783"/>
    <x v="3"/>
    <x v="2"/>
    <x v="1"/>
  </r>
  <r>
    <n v="1231"/>
    <x v="230"/>
    <x v="0"/>
    <x v="0"/>
    <n v="1"/>
    <n v="67161"/>
    <n v="67161"/>
    <x v="2"/>
    <x v="1"/>
    <x v="2"/>
  </r>
  <r>
    <n v="1232"/>
    <x v="231"/>
    <x v="1"/>
    <x v="0"/>
    <n v="3"/>
    <n v="2774"/>
    <n v="8322"/>
    <x v="0"/>
    <x v="1"/>
    <x v="1"/>
  </r>
  <r>
    <n v="1233"/>
    <x v="232"/>
    <x v="2"/>
    <x v="1"/>
    <n v="2"/>
    <n v="1961"/>
    <n v="3922"/>
    <x v="1"/>
    <x v="0"/>
    <x v="0"/>
  </r>
  <r>
    <n v="1234"/>
    <x v="233"/>
    <x v="3"/>
    <x v="2"/>
    <n v="3"/>
    <n v="3843"/>
    <n v="11529"/>
    <x v="3"/>
    <x v="1"/>
    <x v="0"/>
  </r>
  <r>
    <n v="1235"/>
    <x v="234"/>
    <x v="4"/>
    <x v="2"/>
    <n v="2"/>
    <n v="515"/>
    <n v="1030"/>
    <x v="5"/>
    <x v="0"/>
    <x v="2"/>
  </r>
  <r>
    <n v="1236"/>
    <x v="235"/>
    <x v="5"/>
    <x v="0"/>
    <n v="2"/>
    <n v="18773"/>
    <n v="37546"/>
    <x v="3"/>
    <x v="1"/>
    <x v="2"/>
  </r>
  <r>
    <n v="1237"/>
    <x v="236"/>
    <x v="6"/>
    <x v="3"/>
    <n v="2"/>
    <n v="418"/>
    <n v="836"/>
    <x v="3"/>
    <x v="1"/>
    <x v="0"/>
  </r>
  <r>
    <n v="1238"/>
    <x v="237"/>
    <x v="7"/>
    <x v="1"/>
    <n v="2"/>
    <n v="996"/>
    <n v="1992"/>
    <x v="5"/>
    <x v="2"/>
    <x v="0"/>
  </r>
  <r>
    <n v="1239"/>
    <x v="238"/>
    <x v="8"/>
    <x v="0"/>
    <n v="2"/>
    <n v="12569"/>
    <n v="25138"/>
    <x v="3"/>
    <x v="0"/>
    <x v="1"/>
  </r>
  <r>
    <n v="1240"/>
    <x v="239"/>
    <x v="9"/>
    <x v="2"/>
    <n v="3"/>
    <n v="241"/>
    <n v="723"/>
    <x v="1"/>
    <x v="2"/>
    <x v="0"/>
  </r>
  <r>
    <n v="1241"/>
    <x v="240"/>
    <x v="0"/>
    <x v="0"/>
    <n v="1"/>
    <n v="51561"/>
    <n v="51561"/>
    <x v="2"/>
    <x v="1"/>
    <x v="1"/>
  </r>
  <r>
    <n v="1242"/>
    <x v="241"/>
    <x v="1"/>
    <x v="0"/>
    <n v="3"/>
    <n v="2846"/>
    <n v="8538"/>
    <x v="1"/>
    <x v="0"/>
    <x v="0"/>
  </r>
  <r>
    <n v="1243"/>
    <x v="242"/>
    <x v="2"/>
    <x v="1"/>
    <n v="2"/>
    <n v="1792"/>
    <n v="3584"/>
    <x v="3"/>
    <x v="0"/>
    <x v="1"/>
  </r>
  <r>
    <n v="1244"/>
    <x v="243"/>
    <x v="3"/>
    <x v="2"/>
    <n v="1"/>
    <n v="17414"/>
    <n v="17414"/>
    <x v="3"/>
    <x v="0"/>
    <x v="1"/>
  </r>
  <r>
    <n v="1245"/>
    <x v="244"/>
    <x v="4"/>
    <x v="2"/>
    <n v="5"/>
    <n v="417"/>
    <n v="2085"/>
    <x v="5"/>
    <x v="1"/>
    <x v="2"/>
  </r>
  <r>
    <n v="1246"/>
    <x v="245"/>
    <x v="5"/>
    <x v="0"/>
    <n v="1"/>
    <n v="32293"/>
    <n v="32293"/>
    <x v="2"/>
    <x v="0"/>
    <x v="1"/>
  </r>
  <r>
    <n v="1247"/>
    <x v="246"/>
    <x v="6"/>
    <x v="3"/>
    <n v="2"/>
    <n v="750"/>
    <n v="1500"/>
    <x v="5"/>
    <x v="2"/>
    <x v="2"/>
  </r>
  <r>
    <n v="1248"/>
    <x v="247"/>
    <x v="7"/>
    <x v="1"/>
    <n v="3"/>
    <n v="1702"/>
    <n v="5106"/>
    <x v="5"/>
    <x v="0"/>
    <x v="2"/>
  </r>
  <r>
    <n v="1249"/>
    <x v="248"/>
    <x v="8"/>
    <x v="0"/>
    <n v="1"/>
    <n v="10698"/>
    <n v="10698"/>
    <x v="1"/>
    <x v="1"/>
    <x v="0"/>
  </r>
  <r>
    <n v="1250"/>
    <x v="249"/>
    <x v="9"/>
    <x v="2"/>
    <n v="3"/>
    <n v="468"/>
    <n v="1404"/>
    <x v="1"/>
    <x v="0"/>
    <x v="1"/>
  </r>
  <r>
    <n v="1251"/>
    <x v="250"/>
    <x v="0"/>
    <x v="0"/>
    <n v="2"/>
    <n v="57310"/>
    <n v="114620"/>
    <x v="2"/>
    <x v="1"/>
    <x v="2"/>
  </r>
  <r>
    <n v="1252"/>
    <x v="251"/>
    <x v="1"/>
    <x v="0"/>
    <n v="1"/>
    <n v="1155"/>
    <n v="1155"/>
    <x v="5"/>
    <x v="1"/>
    <x v="2"/>
  </r>
  <r>
    <n v="1253"/>
    <x v="252"/>
    <x v="2"/>
    <x v="1"/>
    <n v="1"/>
    <n v="3955"/>
    <n v="3955"/>
    <x v="2"/>
    <x v="1"/>
    <x v="1"/>
  </r>
  <r>
    <n v="1254"/>
    <x v="253"/>
    <x v="3"/>
    <x v="2"/>
    <n v="2"/>
    <n v="11560"/>
    <n v="23120"/>
    <x v="2"/>
    <x v="2"/>
    <x v="2"/>
  </r>
  <r>
    <n v="1255"/>
    <x v="254"/>
    <x v="4"/>
    <x v="2"/>
    <n v="3"/>
    <n v="457"/>
    <n v="1371"/>
    <x v="2"/>
    <x v="1"/>
    <x v="1"/>
  </r>
  <r>
    <n v="1256"/>
    <x v="255"/>
    <x v="5"/>
    <x v="0"/>
    <n v="2"/>
    <n v="22337"/>
    <n v="44674"/>
    <x v="5"/>
    <x v="1"/>
    <x v="0"/>
  </r>
  <r>
    <n v="1257"/>
    <x v="256"/>
    <x v="6"/>
    <x v="3"/>
    <n v="5"/>
    <n v="379"/>
    <n v="1895"/>
    <x v="5"/>
    <x v="2"/>
    <x v="2"/>
  </r>
  <r>
    <n v="1258"/>
    <x v="257"/>
    <x v="7"/>
    <x v="1"/>
    <n v="5"/>
    <n v="667"/>
    <n v="3335"/>
    <x v="0"/>
    <x v="1"/>
    <x v="0"/>
  </r>
  <r>
    <n v="1259"/>
    <x v="258"/>
    <x v="8"/>
    <x v="0"/>
    <n v="2"/>
    <n v="13263"/>
    <n v="26526"/>
    <x v="3"/>
    <x v="1"/>
    <x v="1"/>
  </r>
  <r>
    <n v="1260"/>
    <x v="259"/>
    <x v="9"/>
    <x v="2"/>
    <n v="4"/>
    <n v="503"/>
    <n v="2012"/>
    <x v="2"/>
    <x v="0"/>
    <x v="1"/>
  </r>
  <r>
    <n v="1261"/>
    <x v="260"/>
    <x v="0"/>
    <x v="0"/>
    <n v="1"/>
    <n v="53499"/>
    <n v="53499"/>
    <x v="0"/>
    <x v="0"/>
    <x v="0"/>
  </r>
  <r>
    <n v="1262"/>
    <x v="261"/>
    <x v="1"/>
    <x v="0"/>
    <n v="1"/>
    <n v="3910"/>
    <n v="3910"/>
    <x v="4"/>
    <x v="0"/>
    <x v="1"/>
  </r>
  <r>
    <n v="1263"/>
    <x v="262"/>
    <x v="2"/>
    <x v="1"/>
    <n v="1"/>
    <n v="3590"/>
    <n v="3590"/>
    <x v="3"/>
    <x v="2"/>
    <x v="0"/>
  </r>
  <r>
    <n v="1264"/>
    <x v="263"/>
    <x v="3"/>
    <x v="2"/>
    <n v="5"/>
    <n v="4354"/>
    <n v="21770"/>
    <x v="4"/>
    <x v="2"/>
    <x v="1"/>
  </r>
  <r>
    <n v="1265"/>
    <x v="264"/>
    <x v="4"/>
    <x v="2"/>
    <n v="1"/>
    <n v="878"/>
    <n v="878"/>
    <x v="0"/>
    <x v="0"/>
    <x v="0"/>
  </r>
  <r>
    <n v="1266"/>
    <x v="265"/>
    <x v="5"/>
    <x v="0"/>
    <n v="1"/>
    <n v="28657"/>
    <n v="28657"/>
    <x v="5"/>
    <x v="2"/>
    <x v="2"/>
  </r>
  <r>
    <n v="1267"/>
    <x v="266"/>
    <x v="6"/>
    <x v="3"/>
    <n v="1"/>
    <n v="394"/>
    <n v="394"/>
    <x v="1"/>
    <x v="0"/>
    <x v="2"/>
  </r>
  <r>
    <n v="1268"/>
    <x v="267"/>
    <x v="7"/>
    <x v="1"/>
    <n v="3"/>
    <n v="1554"/>
    <n v="4662"/>
    <x v="3"/>
    <x v="0"/>
    <x v="1"/>
  </r>
  <r>
    <n v="1269"/>
    <x v="268"/>
    <x v="8"/>
    <x v="0"/>
    <n v="1"/>
    <n v="4066"/>
    <n v="4066"/>
    <x v="4"/>
    <x v="2"/>
    <x v="1"/>
  </r>
  <r>
    <n v="1270"/>
    <x v="269"/>
    <x v="9"/>
    <x v="2"/>
    <n v="5"/>
    <n v="210"/>
    <n v="1050"/>
    <x v="1"/>
    <x v="1"/>
    <x v="1"/>
  </r>
  <r>
    <n v="1271"/>
    <x v="270"/>
    <x v="0"/>
    <x v="0"/>
    <n v="1"/>
    <n v="40792"/>
    <n v="40792"/>
    <x v="4"/>
    <x v="2"/>
    <x v="0"/>
  </r>
  <r>
    <n v="1272"/>
    <x v="271"/>
    <x v="1"/>
    <x v="0"/>
    <n v="2"/>
    <n v="3380"/>
    <n v="6760"/>
    <x v="1"/>
    <x v="1"/>
    <x v="0"/>
  </r>
  <r>
    <n v="1273"/>
    <x v="272"/>
    <x v="2"/>
    <x v="1"/>
    <n v="2"/>
    <n v="1061"/>
    <n v="2122"/>
    <x v="3"/>
    <x v="0"/>
    <x v="0"/>
  </r>
  <r>
    <n v="1274"/>
    <x v="273"/>
    <x v="3"/>
    <x v="2"/>
    <n v="5"/>
    <n v="9610"/>
    <n v="48050"/>
    <x v="3"/>
    <x v="2"/>
    <x v="1"/>
  </r>
  <r>
    <n v="1275"/>
    <x v="274"/>
    <x v="4"/>
    <x v="2"/>
    <n v="1"/>
    <n v="901"/>
    <n v="901"/>
    <x v="1"/>
    <x v="2"/>
    <x v="1"/>
  </r>
  <r>
    <n v="1276"/>
    <x v="275"/>
    <x v="5"/>
    <x v="0"/>
    <n v="2"/>
    <n v="18752"/>
    <n v="37504"/>
    <x v="2"/>
    <x v="2"/>
    <x v="0"/>
  </r>
  <r>
    <n v="1277"/>
    <x v="276"/>
    <x v="6"/>
    <x v="3"/>
    <n v="1"/>
    <n v="129"/>
    <n v="129"/>
    <x v="1"/>
    <x v="0"/>
    <x v="0"/>
  </r>
  <r>
    <n v="1278"/>
    <x v="277"/>
    <x v="7"/>
    <x v="1"/>
    <n v="1"/>
    <n v="828"/>
    <n v="828"/>
    <x v="3"/>
    <x v="0"/>
    <x v="1"/>
  </r>
  <r>
    <n v="1279"/>
    <x v="278"/>
    <x v="8"/>
    <x v="0"/>
    <n v="2"/>
    <n v="4999"/>
    <n v="9998"/>
    <x v="4"/>
    <x v="1"/>
    <x v="1"/>
  </r>
  <r>
    <n v="1280"/>
    <x v="279"/>
    <x v="9"/>
    <x v="2"/>
    <n v="4"/>
    <n v="677"/>
    <n v="2708"/>
    <x v="2"/>
    <x v="1"/>
    <x v="0"/>
  </r>
  <r>
    <n v="1281"/>
    <x v="280"/>
    <x v="0"/>
    <x v="0"/>
    <n v="1"/>
    <n v="47291"/>
    <n v="47291"/>
    <x v="3"/>
    <x v="2"/>
    <x v="0"/>
  </r>
  <r>
    <n v="1282"/>
    <x v="281"/>
    <x v="1"/>
    <x v="0"/>
    <n v="3"/>
    <n v="2127"/>
    <n v="6381"/>
    <x v="2"/>
    <x v="2"/>
    <x v="0"/>
  </r>
  <r>
    <n v="1283"/>
    <x v="282"/>
    <x v="2"/>
    <x v="1"/>
    <n v="3"/>
    <n v="2869"/>
    <n v="8607"/>
    <x v="1"/>
    <x v="1"/>
    <x v="0"/>
  </r>
  <r>
    <n v="1284"/>
    <x v="283"/>
    <x v="3"/>
    <x v="2"/>
    <n v="3"/>
    <n v="7361"/>
    <n v="22083"/>
    <x v="4"/>
    <x v="2"/>
    <x v="2"/>
  </r>
  <r>
    <n v="1285"/>
    <x v="284"/>
    <x v="4"/>
    <x v="2"/>
    <n v="5"/>
    <n v="828"/>
    <n v="4140"/>
    <x v="1"/>
    <x v="1"/>
    <x v="1"/>
  </r>
  <r>
    <n v="1286"/>
    <x v="285"/>
    <x v="5"/>
    <x v="0"/>
    <n v="1"/>
    <n v="16337"/>
    <n v="16337"/>
    <x v="3"/>
    <x v="1"/>
    <x v="1"/>
  </r>
  <r>
    <n v="1287"/>
    <x v="286"/>
    <x v="6"/>
    <x v="3"/>
    <n v="3"/>
    <n v="295"/>
    <n v="885"/>
    <x v="0"/>
    <x v="0"/>
    <x v="0"/>
  </r>
  <r>
    <n v="1288"/>
    <x v="287"/>
    <x v="7"/>
    <x v="1"/>
    <n v="2"/>
    <n v="1486"/>
    <n v="2972"/>
    <x v="5"/>
    <x v="0"/>
    <x v="1"/>
  </r>
  <r>
    <n v="1289"/>
    <x v="288"/>
    <x v="8"/>
    <x v="0"/>
    <n v="2"/>
    <n v="12872"/>
    <n v="25744"/>
    <x v="5"/>
    <x v="0"/>
    <x v="2"/>
  </r>
  <r>
    <n v="1290"/>
    <x v="289"/>
    <x v="9"/>
    <x v="2"/>
    <n v="3"/>
    <n v="740"/>
    <n v="2220"/>
    <x v="2"/>
    <x v="1"/>
    <x v="1"/>
  </r>
  <r>
    <n v="1291"/>
    <x v="290"/>
    <x v="0"/>
    <x v="0"/>
    <n v="1"/>
    <n v="69296"/>
    <n v="69296"/>
    <x v="5"/>
    <x v="1"/>
    <x v="0"/>
  </r>
  <r>
    <n v="1292"/>
    <x v="291"/>
    <x v="1"/>
    <x v="0"/>
    <n v="1"/>
    <n v="3960"/>
    <n v="3960"/>
    <x v="4"/>
    <x v="0"/>
    <x v="1"/>
  </r>
  <r>
    <n v="1293"/>
    <x v="292"/>
    <x v="2"/>
    <x v="1"/>
    <n v="3"/>
    <n v="4486"/>
    <n v="13458"/>
    <x v="5"/>
    <x v="0"/>
    <x v="1"/>
  </r>
  <r>
    <n v="1294"/>
    <x v="293"/>
    <x v="3"/>
    <x v="2"/>
    <n v="1"/>
    <n v="18146"/>
    <n v="18146"/>
    <x v="5"/>
    <x v="0"/>
    <x v="1"/>
  </r>
  <r>
    <n v="1295"/>
    <x v="294"/>
    <x v="4"/>
    <x v="2"/>
    <n v="1"/>
    <n v="274"/>
    <n v="274"/>
    <x v="1"/>
    <x v="1"/>
    <x v="2"/>
  </r>
  <r>
    <n v="1296"/>
    <x v="295"/>
    <x v="5"/>
    <x v="0"/>
    <n v="1"/>
    <n v="34548"/>
    <n v="34548"/>
    <x v="1"/>
    <x v="2"/>
    <x v="1"/>
  </r>
  <r>
    <n v="1297"/>
    <x v="296"/>
    <x v="6"/>
    <x v="3"/>
    <n v="1"/>
    <n v="925"/>
    <n v="925"/>
    <x v="4"/>
    <x v="2"/>
    <x v="2"/>
  </r>
  <r>
    <n v="1298"/>
    <x v="297"/>
    <x v="7"/>
    <x v="1"/>
    <n v="4"/>
    <n v="899"/>
    <n v="3596"/>
    <x v="5"/>
    <x v="1"/>
    <x v="2"/>
  </r>
  <r>
    <n v="1299"/>
    <x v="298"/>
    <x v="8"/>
    <x v="0"/>
    <n v="2"/>
    <n v="11888"/>
    <n v="23776"/>
    <x v="3"/>
    <x v="1"/>
    <x v="0"/>
  </r>
  <r>
    <n v="1300"/>
    <x v="299"/>
    <x v="9"/>
    <x v="2"/>
    <n v="3"/>
    <n v="551"/>
    <n v="1653"/>
    <x v="3"/>
    <x v="2"/>
    <x v="0"/>
  </r>
  <r>
    <n v="1301"/>
    <x v="300"/>
    <x v="0"/>
    <x v="0"/>
    <n v="1"/>
    <n v="57645"/>
    <n v="57645"/>
    <x v="1"/>
    <x v="1"/>
    <x v="2"/>
  </r>
  <r>
    <n v="1302"/>
    <x v="301"/>
    <x v="1"/>
    <x v="0"/>
    <n v="2"/>
    <n v="3967"/>
    <n v="7934"/>
    <x v="1"/>
    <x v="0"/>
    <x v="0"/>
  </r>
  <r>
    <n v="1303"/>
    <x v="302"/>
    <x v="2"/>
    <x v="1"/>
    <n v="1"/>
    <n v="4593"/>
    <n v="4593"/>
    <x v="1"/>
    <x v="0"/>
    <x v="1"/>
  </r>
  <r>
    <n v="1304"/>
    <x v="303"/>
    <x v="3"/>
    <x v="2"/>
    <n v="4"/>
    <n v="5728"/>
    <n v="22912"/>
    <x v="1"/>
    <x v="1"/>
    <x v="2"/>
  </r>
  <r>
    <n v="1305"/>
    <x v="304"/>
    <x v="4"/>
    <x v="2"/>
    <n v="2"/>
    <n v="498"/>
    <n v="996"/>
    <x v="5"/>
    <x v="1"/>
    <x v="2"/>
  </r>
  <r>
    <n v="1306"/>
    <x v="305"/>
    <x v="5"/>
    <x v="0"/>
    <n v="2"/>
    <n v="39710"/>
    <n v="79420"/>
    <x v="4"/>
    <x v="1"/>
    <x v="1"/>
  </r>
  <r>
    <n v="1307"/>
    <x v="306"/>
    <x v="6"/>
    <x v="3"/>
    <n v="3"/>
    <n v="197"/>
    <n v="591"/>
    <x v="1"/>
    <x v="0"/>
    <x v="0"/>
  </r>
  <r>
    <n v="1308"/>
    <x v="307"/>
    <x v="7"/>
    <x v="1"/>
    <n v="2"/>
    <n v="1815"/>
    <n v="3630"/>
    <x v="3"/>
    <x v="1"/>
    <x v="1"/>
  </r>
  <r>
    <n v="1309"/>
    <x v="308"/>
    <x v="8"/>
    <x v="0"/>
    <n v="2"/>
    <n v="3949"/>
    <n v="7898"/>
    <x v="0"/>
    <x v="0"/>
    <x v="1"/>
  </r>
  <r>
    <n v="1310"/>
    <x v="309"/>
    <x v="9"/>
    <x v="2"/>
    <n v="1"/>
    <n v="208"/>
    <n v="208"/>
    <x v="4"/>
    <x v="1"/>
    <x v="2"/>
  </r>
  <r>
    <n v="1311"/>
    <x v="310"/>
    <x v="0"/>
    <x v="0"/>
    <n v="1"/>
    <n v="50605"/>
    <n v="50605"/>
    <x v="4"/>
    <x v="1"/>
    <x v="2"/>
  </r>
  <r>
    <n v="1312"/>
    <x v="311"/>
    <x v="1"/>
    <x v="0"/>
    <n v="3"/>
    <n v="4319"/>
    <n v="12957"/>
    <x v="3"/>
    <x v="1"/>
    <x v="2"/>
  </r>
  <r>
    <n v="1313"/>
    <x v="312"/>
    <x v="2"/>
    <x v="1"/>
    <n v="1"/>
    <n v="3721"/>
    <n v="3721"/>
    <x v="1"/>
    <x v="1"/>
    <x v="0"/>
  </r>
  <r>
    <n v="1314"/>
    <x v="313"/>
    <x v="3"/>
    <x v="2"/>
    <n v="2"/>
    <n v="12930"/>
    <n v="25860"/>
    <x v="2"/>
    <x v="0"/>
    <x v="1"/>
  </r>
  <r>
    <n v="1315"/>
    <x v="314"/>
    <x v="4"/>
    <x v="2"/>
    <n v="4"/>
    <n v="707"/>
    <n v="2828"/>
    <x v="2"/>
    <x v="2"/>
    <x v="0"/>
  </r>
  <r>
    <n v="1316"/>
    <x v="315"/>
    <x v="5"/>
    <x v="0"/>
    <n v="2"/>
    <n v="36907"/>
    <n v="73814"/>
    <x v="3"/>
    <x v="2"/>
    <x v="0"/>
  </r>
  <r>
    <n v="1317"/>
    <x v="316"/>
    <x v="6"/>
    <x v="3"/>
    <n v="1"/>
    <n v="942"/>
    <n v="942"/>
    <x v="1"/>
    <x v="1"/>
    <x v="2"/>
  </r>
  <r>
    <n v="1318"/>
    <x v="317"/>
    <x v="7"/>
    <x v="1"/>
    <n v="3"/>
    <n v="826"/>
    <n v="2478"/>
    <x v="4"/>
    <x v="0"/>
    <x v="1"/>
  </r>
  <r>
    <n v="1319"/>
    <x v="318"/>
    <x v="8"/>
    <x v="0"/>
    <n v="1"/>
    <n v="3941"/>
    <n v="3941"/>
    <x v="3"/>
    <x v="2"/>
    <x v="0"/>
  </r>
  <r>
    <n v="1320"/>
    <x v="319"/>
    <x v="9"/>
    <x v="2"/>
    <n v="2"/>
    <n v="476"/>
    <n v="952"/>
    <x v="0"/>
    <x v="1"/>
    <x v="0"/>
  </r>
  <r>
    <n v="1321"/>
    <x v="320"/>
    <x v="0"/>
    <x v="0"/>
    <n v="2"/>
    <n v="41658"/>
    <n v="83316"/>
    <x v="2"/>
    <x v="0"/>
    <x v="2"/>
  </r>
  <r>
    <n v="1322"/>
    <x v="321"/>
    <x v="1"/>
    <x v="0"/>
    <n v="1"/>
    <n v="4084"/>
    <n v="4084"/>
    <x v="5"/>
    <x v="2"/>
    <x v="1"/>
  </r>
  <r>
    <n v="1323"/>
    <x v="322"/>
    <x v="2"/>
    <x v="1"/>
    <n v="3"/>
    <n v="3098"/>
    <n v="9294"/>
    <x v="2"/>
    <x v="2"/>
    <x v="1"/>
  </r>
  <r>
    <n v="1324"/>
    <x v="323"/>
    <x v="3"/>
    <x v="2"/>
    <n v="5"/>
    <n v="18226"/>
    <n v="91130"/>
    <x v="4"/>
    <x v="0"/>
    <x v="2"/>
  </r>
  <r>
    <n v="1325"/>
    <x v="324"/>
    <x v="4"/>
    <x v="2"/>
    <n v="5"/>
    <n v="298"/>
    <n v="1490"/>
    <x v="0"/>
    <x v="2"/>
    <x v="2"/>
  </r>
  <r>
    <n v="1326"/>
    <x v="325"/>
    <x v="5"/>
    <x v="0"/>
    <n v="2"/>
    <n v="12992"/>
    <n v="25984"/>
    <x v="3"/>
    <x v="1"/>
    <x v="2"/>
  </r>
  <r>
    <n v="1327"/>
    <x v="326"/>
    <x v="6"/>
    <x v="3"/>
    <n v="5"/>
    <n v="984"/>
    <n v="4920"/>
    <x v="1"/>
    <x v="1"/>
    <x v="2"/>
  </r>
  <r>
    <n v="1328"/>
    <x v="327"/>
    <x v="7"/>
    <x v="1"/>
    <n v="5"/>
    <n v="1432"/>
    <n v="7160"/>
    <x v="0"/>
    <x v="0"/>
    <x v="0"/>
  </r>
  <r>
    <n v="1329"/>
    <x v="328"/>
    <x v="8"/>
    <x v="0"/>
    <n v="2"/>
    <n v="12324"/>
    <n v="24648"/>
    <x v="3"/>
    <x v="1"/>
    <x v="2"/>
  </r>
  <r>
    <n v="1330"/>
    <x v="329"/>
    <x v="9"/>
    <x v="2"/>
    <n v="4"/>
    <n v="705"/>
    <n v="2820"/>
    <x v="5"/>
    <x v="2"/>
    <x v="2"/>
  </r>
  <r>
    <n v="1331"/>
    <x v="330"/>
    <x v="0"/>
    <x v="0"/>
    <n v="2"/>
    <n v="66703"/>
    <n v="133406"/>
    <x v="4"/>
    <x v="1"/>
    <x v="2"/>
  </r>
  <r>
    <n v="1332"/>
    <x v="331"/>
    <x v="1"/>
    <x v="0"/>
    <n v="1"/>
    <n v="2242"/>
    <n v="2242"/>
    <x v="5"/>
    <x v="2"/>
    <x v="1"/>
  </r>
  <r>
    <n v="1333"/>
    <x v="332"/>
    <x v="2"/>
    <x v="1"/>
    <n v="3"/>
    <n v="3095"/>
    <n v="9285"/>
    <x v="2"/>
    <x v="2"/>
    <x v="0"/>
  </r>
  <r>
    <n v="1334"/>
    <x v="333"/>
    <x v="3"/>
    <x v="2"/>
    <n v="3"/>
    <n v="4016"/>
    <n v="12048"/>
    <x v="1"/>
    <x v="2"/>
    <x v="0"/>
  </r>
  <r>
    <n v="1335"/>
    <x v="334"/>
    <x v="4"/>
    <x v="2"/>
    <n v="4"/>
    <n v="258"/>
    <n v="1032"/>
    <x v="1"/>
    <x v="1"/>
    <x v="0"/>
  </r>
  <r>
    <n v="1336"/>
    <x v="335"/>
    <x v="5"/>
    <x v="0"/>
    <n v="1"/>
    <n v="38061"/>
    <n v="38061"/>
    <x v="5"/>
    <x v="1"/>
    <x v="2"/>
  </r>
  <r>
    <n v="1337"/>
    <x v="336"/>
    <x v="6"/>
    <x v="3"/>
    <n v="2"/>
    <n v="366"/>
    <n v="732"/>
    <x v="1"/>
    <x v="1"/>
    <x v="1"/>
  </r>
  <r>
    <n v="1338"/>
    <x v="337"/>
    <x v="7"/>
    <x v="1"/>
    <n v="1"/>
    <n v="1827"/>
    <n v="1827"/>
    <x v="1"/>
    <x v="2"/>
    <x v="0"/>
  </r>
  <r>
    <n v="1339"/>
    <x v="338"/>
    <x v="8"/>
    <x v="0"/>
    <n v="1"/>
    <n v="6196"/>
    <n v="6196"/>
    <x v="3"/>
    <x v="0"/>
    <x v="1"/>
  </r>
  <r>
    <n v="1340"/>
    <x v="339"/>
    <x v="9"/>
    <x v="2"/>
    <n v="5"/>
    <n v="254"/>
    <n v="1270"/>
    <x v="2"/>
    <x v="2"/>
    <x v="0"/>
  </r>
  <r>
    <n v="1341"/>
    <x v="340"/>
    <x v="0"/>
    <x v="0"/>
    <n v="2"/>
    <n v="57783"/>
    <n v="115566"/>
    <x v="5"/>
    <x v="2"/>
    <x v="1"/>
  </r>
  <r>
    <n v="1342"/>
    <x v="341"/>
    <x v="1"/>
    <x v="0"/>
    <n v="3"/>
    <n v="1302"/>
    <n v="3906"/>
    <x v="1"/>
    <x v="1"/>
    <x v="2"/>
  </r>
  <r>
    <n v="1343"/>
    <x v="342"/>
    <x v="2"/>
    <x v="1"/>
    <n v="1"/>
    <n v="1283"/>
    <n v="1283"/>
    <x v="1"/>
    <x v="1"/>
    <x v="1"/>
  </r>
  <r>
    <n v="1344"/>
    <x v="343"/>
    <x v="3"/>
    <x v="2"/>
    <n v="2"/>
    <n v="10838"/>
    <n v="21676"/>
    <x v="3"/>
    <x v="1"/>
    <x v="1"/>
  </r>
  <r>
    <n v="1345"/>
    <x v="344"/>
    <x v="4"/>
    <x v="2"/>
    <n v="1"/>
    <n v="895"/>
    <n v="895"/>
    <x v="1"/>
    <x v="2"/>
    <x v="0"/>
  </r>
  <r>
    <n v="1346"/>
    <x v="345"/>
    <x v="5"/>
    <x v="0"/>
    <n v="2"/>
    <n v="14574"/>
    <n v="29148"/>
    <x v="4"/>
    <x v="0"/>
    <x v="0"/>
  </r>
  <r>
    <n v="1347"/>
    <x v="346"/>
    <x v="6"/>
    <x v="3"/>
    <n v="2"/>
    <n v="348"/>
    <n v="696"/>
    <x v="3"/>
    <x v="1"/>
    <x v="0"/>
  </r>
  <r>
    <n v="1348"/>
    <x v="347"/>
    <x v="7"/>
    <x v="1"/>
    <n v="4"/>
    <n v="544"/>
    <n v="2176"/>
    <x v="5"/>
    <x v="0"/>
    <x v="1"/>
  </r>
  <r>
    <n v="1349"/>
    <x v="348"/>
    <x v="8"/>
    <x v="0"/>
    <n v="1"/>
    <n v="13858"/>
    <n v="13858"/>
    <x v="2"/>
    <x v="0"/>
    <x v="0"/>
  </r>
  <r>
    <n v="1350"/>
    <x v="349"/>
    <x v="9"/>
    <x v="2"/>
    <n v="3"/>
    <n v="215"/>
    <n v="645"/>
    <x v="4"/>
    <x v="2"/>
    <x v="1"/>
  </r>
  <r>
    <n v="1351"/>
    <x v="350"/>
    <x v="0"/>
    <x v="0"/>
    <n v="2"/>
    <n v="57831"/>
    <n v="115662"/>
    <x v="5"/>
    <x v="0"/>
    <x v="2"/>
  </r>
  <r>
    <n v="1352"/>
    <x v="351"/>
    <x v="1"/>
    <x v="0"/>
    <n v="1"/>
    <n v="2608"/>
    <n v="2608"/>
    <x v="3"/>
    <x v="1"/>
    <x v="2"/>
  </r>
  <r>
    <n v="1353"/>
    <x v="352"/>
    <x v="2"/>
    <x v="1"/>
    <n v="1"/>
    <n v="3751"/>
    <n v="3751"/>
    <x v="5"/>
    <x v="2"/>
    <x v="0"/>
  </r>
  <r>
    <n v="1354"/>
    <x v="353"/>
    <x v="3"/>
    <x v="2"/>
    <n v="5"/>
    <n v="11976"/>
    <n v="59880"/>
    <x v="4"/>
    <x v="2"/>
    <x v="1"/>
  </r>
  <r>
    <n v="1355"/>
    <x v="354"/>
    <x v="4"/>
    <x v="2"/>
    <n v="1"/>
    <n v="542"/>
    <n v="542"/>
    <x v="4"/>
    <x v="0"/>
    <x v="1"/>
  </r>
  <r>
    <n v="1356"/>
    <x v="355"/>
    <x v="5"/>
    <x v="0"/>
    <n v="2"/>
    <n v="34854"/>
    <n v="69708"/>
    <x v="5"/>
    <x v="0"/>
    <x v="0"/>
  </r>
  <r>
    <n v="1357"/>
    <x v="356"/>
    <x v="6"/>
    <x v="3"/>
    <n v="4"/>
    <n v="821"/>
    <n v="3284"/>
    <x v="1"/>
    <x v="1"/>
    <x v="1"/>
  </r>
  <r>
    <n v="1358"/>
    <x v="357"/>
    <x v="7"/>
    <x v="1"/>
    <n v="5"/>
    <n v="1003"/>
    <n v="5015"/>
    <x v="5"/>
    <x v="2"/>
    <x v="2"/>
  </r>
  <r>
    <n v="1359"/>
    <x v="358"/>
    <x v="8"/>
    <x v="0"/>
    <n v="1"/>
    <n v="9526"/>
    <n v="9526"/>
    <x v="5"/>
    <x v="0"/>
    <x v="1"/>
  </r>
  <r>
    <n v="1360"/>
    <x v="359"/>
    <x v="9"/>
    <x v="2"/>
    <n v="5"/>
    <n v="317"/>
    <n v="1585"/>
    <x v="0"/>
    <x v="2"/>
    <x v="2"/>
  </r>
  <r>
    <n v="1361"/>
    <x v="360"/>
    <x v="0"/>
    <x v="0"/>
    <n v="1"/>
    <n v="53373"/>
    <n v="53373"/>
    <x v="5"/>
    <x v="0"/>
    <x v="2"/>
  </r>
  <r>
    <n v="1362"/>
    <x v="361"/>
    <x v="1"/>
    <x v="0"/>
    <n v="2"/>
    <n v="4853"/>
    <n v="9706"/>
    <x v="0"/>
    <x v="1"/>
    <x v="0"/>
  </r>
  <r>
    <n v="1363"/>
    <x v="362"/>
    <x v="2"/>
    <x v="1"/>
    <n v="2"/>
    <n v="4788"/>
    <n v="9576"/>
    <x v="2"/>
    <x v="0"/>
    <x v="0"/>
  </r>
  <r>
    <n v="1364"/>
    <x v="363"/>
    <x v="3"/>
    <x v="2"/>
    <n v="5"/>
    <n v="17252"/>
    <n v="86260"/>
    <x v="3"/>
    <x v="2"/>
    <x v="2"/>
  </r>
  <r>
    <n v="1365"/>
    <x v="364"/>
    <x v="4"/>
    <x v="2"/>
    <n v="5"/>
    <n v="179"/>
    <n v="895"/>
    <x v="1"/>
    <x v="0"/>
    <x v="2"/>
  </r>
  <r>
    <n v="1366"/>
    <x v="365"/>
    <x v="5"/>
    <x v="0"/>
    <n v="1"/>
    <n v="29151"/>
    <n v="29151"/>
    <x v="1"/>
    <x v="1"/>
    <x v="0"/>
  </r>
  <r>
    <n v="1367"/>
    <x v="366"/>
    <x v="6"/>
    <x v="3"/>
    <n v="4"/>
    <n v="474"/>
    <n v="1896"/>
    <x v="0"/>
    <x v="2"/>
    <x v="0"/>
  </r>
  <r>
    <n v="1368"/>
    <x v="367"/>
    <x v="7"/>
    <x v="1"/>
    <n v="1"/>
    <n v="1670"/>
    <n v="1670"/>
    <x v="4"/>
    <x v="2"/>
    <x v="0"/>
  </r>
  <r>
    <n v="1369"/>
    <x v="368"/>
    <x v="8"/>
    <x v="0"/>
    <n v="2"/>
    <n v="14676"/>
    <n v="29352"/>
    <x v="4"/>
    <x v="0"/>
    <x v="0"/>
  </r>
  <r>
    <n v="1370"/>
    <x v="369"/>
    <x v="9"/>
    <x v="2"/>
    <n v="3"/>
    <n v="635"/>
    <n v="1905"/>
    <x v="4"/>
    <x v="0"/>
    <x v="1"/>
  </r>
  <r>
    <n v="1371"/>
    <x v="370"/>
    <x v="0"/>
    <x v="0"/>
    <n v="2"/>
    <n v="61090"/>
    <n v="122180"/>
    <x v="3"/>
    <x v="0"/>
    <x v="1"/>
  </r>
  <r>
    <n v="1372"/>
    <x v="371"/>
    <x v="1"/>
    <x v="0"/>
    <n v="1"/>
    <n v="2093"/>
    <n v="2093"/>
    <x v="4"/>
    <x v="2"/>
    <x v="0"/>
  </r>
  <r>
    <n v="1373"/>
    <x v="372"/>
    <x v="2"/>
    <x v="1"/>
    <n v="3"/>
    <n v="4952"/>
    <n v="14856"/>
    <x v="3"/>
    <x v="0"/>
    <x v="0"/>
  </r>
  <r>
    <n v="1374"/>
    <x v="373"/>
    <x v="3"/>
    <x v="2"/>
    <n v="4"/>
    <n v="11582"/>
    <n v="46328"/>
    <x v="0"/>
    <x v="1"/>
    <x v="2"/>
  </r>
  <r>
    <n v="1375"/>
    <x v="374"/>
    <x v="4"/>
    <x v="2"/>
    <n v="1"/>
    <n v="267"/>
    <n v="267"/>
    <x v="0"/>
    <x v="2"/>
    <x v="0"/>
  </r>
  <r>
    <n v="1376"/>
    <x v="375"/>
    <x v="5"/>
    <x v="0"/>
    <n v="1"/>
    <n v="36468"/>
    <n v="36468"/>
    <x v="3"/>
    <x v="0"/>
    <x v="2"/>
  </r>
  <r>
    <n v="1377"/>
    <x v="376"/>
    <x v="6"/>
    <x v="3"/>
    <n v="4"/>
    <n v="506"/>
    <n v="2024"/>
    <x v="2"/>
    <x v="1"/>
    <x v="2"/>
  </r>
  <r>
    <n v="1378"/>
    <x v="377"/>
    <x v="7"/>
    <x v="1"/>
    <n v="1"/>
    <n v="640"/>
    <n v="640"/>
    <x v="2"/>
    <x v="1"/>
    <x v="2"/>
  </r>
  <r>
    <n v="1379"/>
    <x v="378"/>
    <x v="8"/>
    <x v="0"/>
    <n v="2"/>
    <n v="7951"/>
    <n v="15902"/>
    <x v="4"/>
    <x v="2"/>
    <x v="1"/>
  </r>
  <r>
    <n v="1380"/>
    <x v="379"/>
    <x v="9"/>
    <x v="2"/>
    <n v="2"/>
    <n v="547"/>
    <n v="1094"/>
    <x v="1"/>
    <x v="2"/>
    <x v="1"/>
  </r>
  <r>
    <n v="1381"/>
    <x v="380"/>
    <x v="0"/>
    <x v="0"/>
    <n v="2"/>
    <n v="44128"/>
    <n v="88256"/>
    <x v="0"/>
    <x v="2"/>
    <x v="1"/>
  </r>
  <r>
    <n v="1382"/>
    <x v="381"/>
    <x v="1"/>
    <x v="0"/>
    <n v="1"/>
    <n v="2236"/>
    <n v="2236"/>
    <x v="5"/>
    <x v="1"/>
    <x v="2"/>
  </r>
  <r>
    <n v="1383"/>
    <x v="382"/>
    <x v="2"/>
    <x v="1"/>
    <n v="1"/>
    <n v="2086"/>
    <n v="2086"/>
    <x v="5"/>
    <x v="0"/>
    <x v="1"/>
  </r>
  <r>
    <n v="1384"/>
    <x v="383"/>
    <x v="3"/>
    <x v="2"/>
    <n v="5"/>
    <n v="2776"/>
    <n v="13880"/>
    <x v="0"/>
    <x v="2"/>
    <x v="0"/>
  </r>
  <r>
    <n v="1385"/>
    <x v="384"/>
    <x v="4"/>
    <x v="2"/>
    <n v="3"/>
    <n v="950"/>
    <n v="2850"/>
    <x v="3"/>
    <x v="1"/>
    <x v="1"/>
  </r>
  <r>
    <n v="1386"/>
    <x v="385"/>
    <x v="5"/>
    <x v="0"/>
    <n v="2"/>
    <n v="35262"/>
    <n v="70524"/>
    <x v="0"/>
    <x v="2"/>
    <x v="2"/>
  </r>
  <r>
    <n v="1387"/>
    <x v="386"/>
    <x v="6"/>
    <x v="3"/>
    <n v="2"/>
    <n v="987"/>
    <n v="1974"/>
    <x v="4"/>
    <x v="0"/>
    <x v="0"/>
  </r>
  <r>
    <n v="1388"/>
    <x v="387"/>
    <x v="7"/>
    <x v="1"/>
    <n v="4"/>
    <n v="1738"/>
    <n v="6952"/>
    <x v="1"/>
    <x v="1"/>
    <x v="1"/>
  </r>
  <r>
    <n v="1389"/>
    <x v="388"/>
    <x v="8"/>
    <x v="0"/>
    <n v="2"/>
    <n v="12489"/>
    <n v="24978"/>
    <x v="5"/>
    <x v="1"/>
    <x v="1"/>
  </r>
  <r>
    <n v="1390"/>
    <x v="389"/>
    <x v="9"/>
    <x v="2"/>
    <n v="1"/>
    <n v="655"/>
    <n v="655"/>
    <x v="5"/>
    <x v="2"/>
    <x v="0"/>
  </r>
  <r>
    <n v="1391"/>
    <x v="390"/>
    <x v="0"/>
    <x v="0"/>
    <n v="1"/>
    <n v="43749"/>
    <n v="43749"/>
    <x v="4"/>
    <x v="0"/>
    <x v="0"/>
  </r>
  <r>
    <n v="1392"/>
    <x v="391"/>
    <x v="1"/>
    <x v="0"/>
    <n v="2"/>
    <n v="2811"/>
    <n v="5622"/>
    <x v="5"/>
    <x v="0"/>
    <x v="2"/>
  </r>
  <r>
    <n v="1393"/>
    <x v="392"/>
    <x v="2"/>
    <x v="1"/>
    <n v="2"/>
    <n v="3024"/>
    <n v="6048"/>
    <x v="0"/>
    <x v="0"/>
    <x v="1"/>
  </r>
  <r>
    <n v="1394"/>
    <x v="393"/>
    <x v="3"/>
    <x v="2"/>
    <n v="2"/>
    <n v="3456"/>
    <n v="6912"/>
    <x v="0"/>
    <x v="1"/>
    <x v="1"/>
  </r>
  <r>
    <n v="1395"/>
    <x v="394"/>
    <x v="4"/>
    <x v="2"/>
    <n v="2"/>
    <n v="101"/>
    <n v="202"/>
    <x v="3"/>
    <x v="1"/>
    <x v="2"/>
  </r>
  <r>
    <n v="1396"/>
    <x v="395"/>
    <x v="5"/>
    <x v="0"/>
    <n v="1"/>
    <n v="12460"/>
    <n v="12460"/>
    <x v="0"/>
    <x v="2"/>
    <x v="2"/>
  </r>
  <r>
    <n v="1397"/>
    <x v="396"/>
    <x v="6"/>
    <x v="3"/>
    <n v="2"/>
    <n v="255"/>
    <n v="510"/>
    <x v="3"/>
    <x v="2"/>
    <x v="2"/>
  </r>
  <r>
    <n v="1398"/>
    <x v="397"/>
    <x v="7"/>
    <x v="1"/>
    <n v="4"/>
    <n v="688"/>
    <n v="2752"/>
    <x v="0"/>
    <x v="0"/>
    <x v="0"/>
  </r>
  <r>
    <n v="1399"/>
    <x v="398"/>
    <x v="8"/>
    <x v="0"/>
    <n v="2"/>
    <n v="4109"/>
    <n v="8218"/>
    <x v="1"/>
    <x v="1"/>
    <x v="0"/>
  </r>
  <r>
    <n v="1400"/>
    <x v="399"/>
    <x v="9"/>
    <x v="2"/>
    <n v="2"/>
    <n v="289"/>
    <n v="578"/>
    <x v="5"/>
    <x v="2"/>
    <x v="1"/>
  </r>
  <r>
    <n v="1401"/>
    <x v="400"/>
    <x v="0"/>
    <x v="0"/>
    <n v="1"/>
    <n v="56349"/>
    <n v="56349"/>
    <x v="3"/>
    <x v="2"/>
    <x v="2"/>
  </r>
  <r>
    <n v="1402"/>
    <x v="401"/>
    <x v="1"/>
    <x v="0"/>
    <n v="3"/>
    <n v="2075"/>
    <n v="6225"/>
    <x v="3"/>
    <x v="2"/>
    <x v="0"/>
  </r>
  <r>
    <n v="1403"/>
    <x v="402"/>
    <x v="2"/>
    <x v="1"/>
    <n v="3"/>
    <n v="3644"/>
    <n v="10932"/>
    <x v="0"/>
    <x v="1"/>
    <x v="1"/>
  </r>
  <r>
    <n v="1404"/>
    <x v="403"/>
    <x v="3"/>
    <x v="2"/>
    <n v="1"/>
    <n v="5904"/>
    <n v="5904"/>
    <x v="5"/>
    <x v="1"/>
    <x v="1"/>
  </r>
  <r>
    <n v="1405"/>
    <x v="404"/>
    <x v="4"/>
    <x v="2"/>
    <n v="3"/>
    <n v="295"/>
    <n v="885"/>
    <x v="4"/>
    <x v="0"/>
    <x v="2"/>
  </r>
  <r>
    <n v="1406"/>
    <x v="405"/>
    <x v="5"/>
    <x v="0"/>
    <n v="1"/>
    <n v="27414"/>
    <n v="27414"/>
    <x v="0"/>
    <x v="1"/>
    <x v="0"/>
  </r>
  <r>
    <n v="1407"/>
    <x v="406"/>
    <x v="6"/>
    <x v="3"/>
    <n v="1"/>
    <n v="367"/>
    <n v="367"/>
    <x v="4"/>
    <x v="0"/>
    <x v="2"/>
  </r>
  <r>
    <n v="1408"/>
    <x v="407"/>
    <x v="7"/>
    <x v="1"/>
    <n v="2"/>
    <n v="698"/>
    <n v="1396"/>
    <x v="2"/>
    <x v="0"/>
    <x v="2"/>
  </r>
  <r>
    <n v="1409"/>
    <x v="408"/>
    <x v="8"/>
    <x v="0"/>
    <n v="2"/>
    <n v="13713"/>
    <n v="27426"/>
    <x v="4"/>
    <x v="2"/>
    <x v="0"/>
  </r>
  <r>
    <n v="1410"/>
    <x v="409"/>
    <x v="9"/>
    <x v="2"/>
    <n v="4"/>
    <n v="626"/>
    <n v="2504"/>
    <x v="1"/>
    <x v="0"/>
    <x v="2"/>
  </r>
  <r>
    <n v="1411"/>
    <x v="410"/>
    <x v="0"/>
    <x v="0"/>
    <n v="2"/>
    <n v="56913"/>
    <n v="113826"/>
    <x v="1"/>
    <x v="0"/>
    <x v="0"/>
  </r>
  <r>
    <n v="1412"/>
    <x v="411"/>
    <x v="1"/>
    <x v="0"/>
    <n v="1"/>
    <n v="4959"/>
    <n v="4959"/>
    <x v="5"/>
    <x v="0"/>
    <x v="0"/>
  </r>
  <r>
    <n v="1413"/>
    <x v="412"/>
    <x v="2"/>
    <x v="1"/>
    <n v="2"/>
    <n v="2841"/>
    <n v="5682"/>
    <x v="5"/>
    <x v="0"/>
    <x v="0"/>
  </r>
  <r>
    <n v="1414"/>
    <x v="413"/>
    <x v="3"/>
    <x v="2"/>
    <n v="4"/>
    <n v="13916"/>
    <n v="55664"/>
    <x v="3"/>
    <x v="1"/>
    <x v="0"/>
  </r>
  <r>
    <n v="1415"/>
    <x v="414"/>
    <x v="4"/>
    <x v="2"/>
    <n v="4"/>
    <n v="151"/>
    <n v="604"/>
    <x v="5"/>
    <x v="2"/>
    <x v="2"/>
  </r>
  <r>
    <n v="1416"/>
    <x v="415"/>
    <x v="5"/>
    <x v="0"/>
    <n v="1"/>
    <n v="17923"/>
    <n v="17923"/>
    <x v="0"/>
    <x v="1"/>
    <x v="2"/>
  </r>
  <r>
    <n v="1417"/>
    <x v="416"/>
    <x v="6"/>
    <x v="3"/>
    <n v="3"/>
    <n v="843"/>
    <n v="2529"/>
    <x v="4"/>
    <x v="1"/>
    <x v="0"/>
  </r>
  <r>
    <n v="1418"/>
    <x v="417"/>
    <x v="7"/>
    <x v="1"/>
    <n v="2"/>
    <n v="1736"/>
    <n v="3472"/>
    <x v="1"/>
    <x v="1"/>
    <x v="1"/>
  </r>
  <r>
    <n v="1419"/>
    <x v="418"/>
    <x v="8"/>
    <x v="0"/>
    <n v="1"/>
    <n v="13704"/>
    <n v="13704"/>
    <x v="5"/>
    <x v="0"/>
    <x v="1"/>
  </r>
  <r>
    <n v="1420"/>
    <x v="419"/>
    <x v="9"/>
    <x v="2"/>
    <n v="5"/>
    <n v="297"/>
    <n v="1485"/>
    <x v="1"/>
    <x v="0"/>
    <x v="1"/>
  </r>
  <r>
    <n v="1421"/>
    <x v="420"/>
    <x v="0"/>
    <x v="0"/>
    <n v="2"/>
    <n v="59030"/>
    <n v="118060"/>
    <x v="3"/>
    <x v="2"/>
    <x v="1"/>
  </r>
  <r>
    <n v="1422"/>
    <x v="421"/>
    <x v="1"/>
    <x v="0"/>
    <n v="1"/>
    <n v="1043"/>
    <n v="1043"/>
    <x v="5"/>
    <x v="0"/>
    <x v="1"/>
  </r>
  <r>
    <n v="1423"/>
    <x v="422"/>
    <x v="2"/>
    <x v="1"/>
    <n v="2"/>
    <n v="3714"/>
    <n v="7428"/>
    <x v="1"/>
    <x v="1"/>
    <x v="0"/>
  </r>
  <r>
    <n v="1424"/>
    <x v="423"/>
    <x v="3"/>
    <x v="2"/>
    <n v="2"/>
    <n v="4810"/>
    <n v="9620"/>
    <x v="3"/>
    <x v="2"/>
    <x v="1"/>
  </r>
  <r>
    <n v="1425"/>
    <x v="424"/>
    <x v="4"/>
    <x v="2"/>
    <n v="3"/>
    <n v="873"/>
    <n v="2619"/>
    <x v="1"/>
    <x v="2"/>
    <x v="0"/>
  </r>
  <r>
    <n v="1426"/>
    <x v="425"/>
    <x v="5"/>
    <x v="0"/>
    <n v="1"/>
    <n v="16801"/>
    <n v="16801"/>
    <x v="5"/>
    <x v="0"/>
    <x v="1"/>
  </r>
  <r>
    <n v="1427"/>
    <x v="426"/>
    <x v="6"/>
    <x v="3"/>
    <n v="2"/>
    <n v="881"/>
    <n v="1762"/>
    <x v="2"/>
    <x v="2"/>
    <x v="2"/>
  </r>
  <r>
    <n v="1428"/>
    <x v="427"/>
    <x v="7"/>
    <x v="1"/>
    <n v="1"/>
    <n v="1334"/>
    <n v="1334"/>
    <x v="2"/>
    <x v="0"/>
    <x v="0"/>
  </r>
  <r>
    <n v="1429"/>
    <x v="428"/>
    <x v="8"/>
    <x v="0"/>
    <n v="1"/>
    <n v="5467"/>
    <n v="5467"/>
    <x v="4"/>
    <x v="0"/>
    <x v="0"/>
  </r>
  <r>
    <n v="1430"/>
    <x v="429"/>
    <x v="9"/>
    <x v="2"/>
    <n v="5"/>
    <n v="767"/>
    <n v="3835"/>
    <x v="1"/>
    <x v="2"/>
    <x v="0"/>
  </r>
  <r>
    <n v="1431"/>
    <x v="430"/>
    <x v="0"/>
    <x v="0"/>
    <n v="2"/>
    <n v="45680"/>
    <n v="91360"/>
    <x v="0"/>
    <x v="0"/>
    <x v="1"/>
  </r>
  <r>
    <n v="1432"/>
    <x v="431"/>
    <x v="1"/>
    <x v="0"/>
    <n v="1"/>
    <n v="3500"/>
    <n v="3500"/>
    <x v="3"/>
    <x v="0"/>
    <x v="1"/>
  </r>
  <r>
    <n v="1433"/>
    <x v="432"/>
    <x v="2"/>
    <x v="1"/>
    <n v="1"/>
    <n v="2356"/>
    <n v="2356"/>
    <x v="3"/>
    <x v="2"/>
    <x v="2"/>
  </r>
  <r>
    <n v="1434"/>
    <x v="433"/>
    <x v="3"/>
    <x v="2"/>
    <n v="5"/>
    <n v="7458"/>
    <n v="37290"/>
    <x v="4"/>
    <x v="0"/>
    <x v="1"/>
  </r>
  <r>
    <n v="1435"/>
    <x v="434"/>
    <x v="4"/>
    <x v="2"/>
    <n v="3"/>
    <n v="365"/>
    <n v="1095"/>
    <x v="4"/>
    <x v="2"/>
    <x v="1"/>
  </r>
  <r>
    <n v="1436"/>
    <x v="435"/>
    <x v="5"/>
    <x v="0"/>
    <n v="2"/>
    <n v="20872"/>
    <n v="41744"/>
    <x v="4"/>
    <x v="0"/>
    <x v="0"/>
  </r>
  <r>
    <n v="1437"/>
    <x v="436"/>
    <x v="6"/>
    <x v="3"/>
    <n v="5"/>
    <n v="987"/>
    <n v="4935"/>
    <x v="2"/>
    <x v="0"/>
    <x v="1"/>
  </r>
  <r>
    <n v="1438"/>
    <x v="437"/>
    <x v="7"/>
    <x v="1"/>
    <n v="2"/>
    <n v="1861"/>
    <n v="3722"/>
    <x v="5"/>
    <x v="0"/>
    <x v="2"/>
  </r>
  <r>
    <n v="1439"/>
    <x v="438"/>
    <x v="8"/>
    <x v="0"/>
    <n v="2"/>
    <n v="7608"/>
    <n v="15216"/>
    <x v="3"/>
    <x v="1"/>
    <x v="2"/>
  </r>
  <r>
    <n v="1440"/>
    <x v="439"/>
    <x v="9"/>
    <x v="2"/>
    <n v="3"/>
    <n v="672"/>
    <n v="2016"/>
    <x v="4"/>
    <x v="1"/>
    <x v="2"/>
  </r>
  <r>
    <n v="1441"/>
    <x v="440"/>
    <x v="0"/>
    <x v="0"/>
    <n v="2"/>
    <n v="53902"/>
    <n v="107804"/>
    <x v="4"/>
    <x v="2"/>
    <x v="2"/>
  </r>
  <r>
    <n v="1442"/>
    <x v="441"/>
    <x v="1"/>
    <x v="0"/>
    <n v="3"/>
    <n v="3381"/>
    <n v="10143"/>
    <x v="1"/>
    <x v="1"/>
    <x v="2"/>
  </r>
  <r>
    <n v="1443"/>
    <x v="442"/>
    <x v="2"/>
    <x v="1"/>
    <n v="2"/>
    <n v="3696"/>
    <n v="7392"/>
    <x v="1"/>
    <x v="1"/>
    <x v="2"/>
  </r>
  <r>
    <n v="1444"/>
    <x v="443"/>
    <x v="3"/>
    <x v="2"/>
    <n v="4"/>
    <n v="19559"/>
    <n v="78236"/>
    <x v="3"/>
    <x v="1"/>
    <x v="0"/>
  </r>
  <r>
    <n v="1445"/>
    <x v="444"/>
    <x v="4"/>
    <x v="2"/>
    <n v="5"/>
    <n v="503"/>
    <n v="2515"/>
    <x v="5"/>
    <x v="1"/>
    <x v="0"/>
  </r>
  <r>
    <n v="1446"/>
    <x v="445"/>
    <x v="5"/>
    <x v="0"/>
    <n v="1"/>
    <n v="38392"/>
    <n v="38392"/>
    <x v="2"/>
    <x v="1"/>
    <x v="2"/>
  </r>
  <r>
    <n v="1447"/>
    <x v="446"/>
    <x v="6"/>
    <x v="3"/>
    <n v="4"/>
    <n v="113"/>
    <n v="452"/>
    <x v="1"/>
    <x v="1"/>
    <x v="0"/>
  </r>
  <r>
    <n v="1448"/>
    <x v="447"/>
    <x v="7"/>
    <x v="1"/>
    <n v="5"/>
    <n v="684"/>
    <n v="3420"/>
    <x v="3"/>
    <x v="2"/>
    <x v="1"/>
  </r>
  <r>
    <n v="1449"/>
    <x v="448"/>
    <x v="8"/>
    <x v="0"/>
    <n v="1"/>
    <n v="3574"/>
    <n v="3574"/>
    <x v="0"/>
    <x v="1"/>
    <x v="0"/>
  </r>
  <r>
    <n v="1450"/>
    <x v="449"/>
    <x v="9"/>
    <x v="2"/>
    <n v="5"/>
    <n v="779"/>
    <n v="3895"/>
    <x v="3"/>
    <x v="0"/>
    <x v="2"/>
  </r>
  <r>
    <n v="1451"/>
    <x v="450"/>
    <x v="0"/>
    <x v="0"/>
    <n v="1"/>
    <n v="40358"/>
    <n v="40358"/>
    <x v="3"/>
    <x v="0"/>
    <x v="1"/>
  </r>
  <r>
    <n v="1452"/>
    <x v="451"/>
    <x v="1"/>
    <x v="0"/>
    <n v="3"/>
    <n v="3269"/>
    <n v="9807"/>
    <x v="0"/>
    <x v="2"/>
    <x v="2"/>
  </r>
  <r>
    <n v="1453"/>
    <x v="452"/>
    <x v="2"/>
    <x v="1"/>
    <n v="1"/>
    <n v="2592"/>
    <n v="2592"/>
    <x v="5"/>
    <x v="1"/>
    <x v="2"/>
  </r>
  <r>
    <n v="1454"/>
    <x v="453"/>
    <x v="3"/>
    <x v="2"/>
    <n v="3"/>
    <n v="18529"/>
    <n v="55587"/>
    <x v="2"/>
    <x v="2"/>
    <x v="1"/>
  </r>
  <r>
    <n v="1455"/>
    <x v="454"/>
    <x v="4"/>
    <x v="2"/>
    <n v="5"/>
    <n v="376"/>
    <n v="1880"/>
    <x v="2"/>
    <x v="1"/>
    <x v="0"/>
  </r>
  <r>
    <n v="1456"/>
    <x v="455"/>
    <x v="5"/>
    <x v="0"/>
    <n v="2"/>
    <n v="23687"/>
    <n v="47374"/>
    <x v="0"/>
    <x v="0"/>
    <x v="1"/>
  </r>
  <r>
    <n v="1457"/>
    <x v="456"/>
    <x v="6"/>
    <x v="3"/>
    <n v="2"/>
    <n v="225"/>
    <n v="450"/>
    <x v="1"/>
    <x v="2"/>
    <x v="1"/>
  </r>
  <r>
    <n v="1458"/>
    <x v="457"/>
    <x v="7"/>
    <x v="1"/>
    <n v="5"/>
    <n v="882"/>
    <n v="4410"/>
    <x v="4"/>
    <x v="2"/>
    <x v="2"/>
  </r>
  <r>
    <n v="1459"/>
    <x v="458"/>
    <x v="8"/>
    <x v="0"/>
    <n v="2"/>
    <n v="7214"/>
    <n v="14428"/>
    <x v="1"/>
    <x v="0"/>
    <x v="1"/>
  </r>
  <r>
    <n v="1460"/>
    <x v="459"/>
    <x v="9"/>
    <x v="2"/>
    <n v="5"/>
    <n v="241"/>
    <n v="1205"/>
    <x v="2"/>
    <x v="2"/>
    <x v="2"/>
  </r>
  <r>
    <n v="1461"/>
    <x v="460"/>
    <x v="0"/>
    <x v="0"/>
    <n v="2"/>
    <n v="61490"/>
    <n v="122980"/>
    <x v="5"/>
    <x v="0"/>
    <x v="0"/>
  </r>
  <r>
    <n v="1462"/>
    <x v="461"/>
    <x v="1"/>
    <x v="0"/>
    <n v="3"/>
    <n v="4120"/>
    <n v="12360"/>
    <x v="0"/>
    <x v="2"/>
    <x v="2"/>
  </r>
  <r>
    <n v="1463"/>
    <x v="462"/>
    <x v="2"/>
    <x v="1"/>
    <n v="1"/>
    <n v="1206"/>
    <n v="1206"/>
    <x v="1"/>
    <x v="1"/>
    <x v="2"/>
  </r>
  <r>
    <n v="1464"/>
    <x v="463"/>
    <x v="3"/>
    <x v="2"/>
    <n v="4"/>
    <n v="10934"/>
    <n v="43736"/>
    <x v="5"/>
    <x v="2"/>
    <x v="1"/>
  </r>
  <r>
    <n v="1465"/>
    <x v="464"/>
    <x v="4"/>
    <x v="2"/>
    <n v="1"/>
    <n v="326"/>
    <n v="326"/>
    <x v="2"/>
    <x v="0"/>
    <x v="0"/>
  </r>
  <r>
    <n v="1466"/>
    <x v="465"/>
    <x v="5"/>
    <x v="0"/>
    <n v="2"/>
    <n v="37146"/>
    <n v="74292"/>
    <x v="0"/>
    <x v="1"/>
    <x v="1"/>
  </r>
  <r>
    <n v="1467"/>
    <x v="466"/>
    <x v="6"/>
    <x v="3"/>
    <n v="1"/>
    <n v="235"/>
    <n v="235"/>
    <x v="5"/>
    <x v="2"/>
    <x v="0"/>
  </r>
  <r>
    <n v="1468"/>
    <x v="467"/>
    <x v="7"/>
    <x v="1"/>
    <n v="5"/>
    <n v="1118"/>
    <n v="5590"/>
    <x v="2"/>
    <x v="2"/>
    <x v="1"/>
  </r>
  <r>
    <n v="1469"/>
    <x v="468"/>
    <x v="8"/>
    <x v="0"/>
    <n v="2"/>
    <n v="7110"/>
    <n v="14220"/>
    <x v="5"/>
    <x v="1"/>
    <x v="0"/>
  </r>
  <r>
    <n v="1470"/>
    <x v="469"/>
    <x v="9"/>
    <x v="2"/>
    <n v="1"/>
    <n v="333"/>
    <n v="333"/>
    <x v="2"/>
    <x v="2"/>
    <x v="1"/>
  </r>
  <r>
    <n v="1471"/>
    <x v="470"/>
    <x v="0"/>
    <x v="0"/>
    <n v="1"/>
    <n v="62505"/>
    <n v="62505"/>
    <x v="2"/>
    <x v="0"/>
    <x v="1"/>
  </r>
  <r>
    <n v="1472"/>
    <x v="471"/>
    <x v="1"/>
    <x v="0"/>
    <n v="1"/>
    <n v="3269"/>
    <n v="3269"/>
    <x v="4"/>
    <x v="2"/>
    <x v="0"/>
  </r>
  <r>
    <n v="1473"/>
    <x v="472"/>
    <x v="2"/>
    <x v="1"/>
    <n v="1"/>
    <n v="3182"/>
    <n v="3182"/>
    <x v="4"/>
    <x v="0"/>
    <x v="2"/>
  </r>
  <r>
    <n v="1474"/>
    <x v="473"/>
    <x v="3"/>
    <x v="2"/>
    <n v="1"/>
    <n v="4471"/>
    <n v="4471"/>
    <x v="1"/>
    <x v="1"/>
    <x v="2"/>
  </r>
  <r>
    <n v="1475"/>
    <x v="474"/>
    <x v="4"/>
    <x v="2"/>
    <n v="2"/>
    <n v="732"/>
    <n v="1464"/>
    <x v="3"/>
    <x v="0"/>
    <x v="0"/>
  </r>
  <r>
    <n v="1476"/>
    <x v="475"/>
    <x v="5"/>
    <x v="0"/>
    <n v="2"/>
    <n v="14850"/>
    <n v="29700"/>
    <x v="2"/>
    <x v="1"/>
    <x v="2"/>
  </r>
  <r>
    <n v="1477"/>
    <x v="476"/>
    <x v="6"/>
    <x v="3"/>
    <n v="2"/>
    <n v="179"/>
    <n v="358"/>
    <x v="4"/>
    <x v="0"/>
    <x v="1"/>
  </r>
  <r>
    <n v="1478"/>
    <x v="477"/>
    <x v="7"/>
    <x v="1"/>
    <n v="5"/>
    <n v="1213"/>
    <n v="6065"/>
    <x v="5"/>
    <x v="0"/>
    <x v="2"/>
  </r>
  <r>
    <n v="1479"/>
    <x v="478"/>
    <x v="8"/>
    <x v="0"/>
    <n v="1"/>
    <n v="5171"/>
    <n v="5171"/>
    <x v="5"/>
    <x v="1"/>
    <x v="1"/>
  </r>
  <r>
    <n v="1480"/>
    <x v="479"/>
    <x v="9"/>
    <x v="2"/>
    <n v="1"/>
    <n v="731"/>
    <n v="731"/>
    <x v="0"/>
    <x v="2"/>
    <x v="0"/>
  </r>
  <r>
    <n v="1481"/>
    <x v="480"/>
    <x v="0"/>
    <x v="0"/>
    <n v="1"/>
    <n v="67499"/>
    <n v="67499"/>
    <x v="0"/>
    <x v="0"/>
    <x v="1"/>
  </r>
  <r>
    <n v="1482"/>
    <x v="481"/>
    <x v="1"/>
    <x v="0"/>
    <n v="1"/>
    <n v="4107"/>
    <n v="4107"/>
    <x v="1"/>
    <x v="1"/>
    <x v="0"/>
  </r>
  <r>
    <n v="1483"/>
    <x v="482"/>
    <x v="2"/>
    <x v="1"/>
    <n v="2"/>
    <n v="2690"/>
    <n v="5380"/>
    <x v="3"/>
    <x v="2"/>
    <x v="0"/>
  </r>
  <r>
    <n v="1484"/>
    <x v="483"/>
    <x v="3"/>
    <x v="2"/>
    <n v="5"/>
    <n v="8632"/>
    <n v="43160"/>
    <x v="4"/>
    <x v="0"/>
    <x v="0"/>
  </r>
  <r>
    <n v="1485"/>
    <x v="484"/>
    <x v="4"/>
    <x v="2"/>
    <n v="2"/>
    <n v="746"/>
    <n v="1492"/>
    <x v="2"/>
    <x v="2"/>
    <x v="2"/>
  </r>
  <r>
    <n v="1486"/>
    <x v="485"/>
    <x v="5"/>
    <x v="0"/>
    <n v="2"/>
    <n v="19358"/>
    <n v="38716"/>
    <x v="2"/>
    <x v="1"/>
    <x v="1"/>
  </r>
  <r>
    <n v="1487"/>
    <x v="486"/>
    <x v="6"/>
    <x v="3"/>
    <n v="3"/>
    <n v="128"/>
    <n v="384"/>
    <x v="4"/>
    <x v="0"/>
    <x v="0"/>
  </r>
  <r>
    <n v="1488"/>
    <x v="487"/>
    <x v="7"/>
    <x v="1"/>
    <n v="2"/>
    <n v="1440"/>
    <n v="2880"/>
    <x v="1"/>
    <x v="0"/>
    <x v="2"/>
  </r>
  <r>
    <n v="1489"/>
    <x v="488"/>
    <x v="8"/>
    <x v="0"/>
    <n v="1"/>
    <n v="14302"/>
    <n v="14302"/>
    <x v="0"/>
    <x v="2"/>
    <x v="2"/>
  </r>
  <r>
    <n v="1490"/>
    <x v="489"/>
    <x v="9"/>
    <x v="2"/>
    <n v="5"/>
    <n v="296"/>
    <n v="1480"/>
    <x v="5"/>
    <x v="1"/>
    <x v="0"/>
  </r>
  <r>
    <n v="1491"/>
    <x v="490"/>
    <x v="0"/>
    <x v="0"/>
    <n v="2"/>
    <n v="63623"/>
    <n v="127246"/>
    <x v="5"/>
    <x v="0"/>
    <x v="1"/>
  </r>
  <r>
    <n v="1492"/>
    <x v="491"/>
    <x v="1"/>
    <x v="0"/>
    <n v="1"/>
    <n v="2952"/>
    <n v="2952"/>
    <x v="5"/>
    <x v="1"/>
    <x v="0"/>
  </r>
  <r>
    <n v="1493"/>
    <x v="492"/>
    <x v="2"/>
    <x v="1"/>
    <n v="3"/>
    <n v="4415"/>
    <n v="13245"/>
    <x v="1"/>
    <x v="1"/>
    <x v="0"/>
  </r>
  <r>
    <n v="1494"/>
    <x v="493"/>
    <x v="3"/>
    <x v="2"/>
    <n v="1"/>
    <n v="12572"/>
    <n v="12572"/>
    <x v="4"/>
    <x v="1"/>
    <x v="2"/>
  </r>
  <r>
    <n v="1495"/>
    <x v="494"/>
    <x v="4"/>
    <x v="2"/>
    <n v="5"/>
    <n v="745"/>
    <n v="3725"/>
    <x v="4"/>
    <x v="2"/>
    <x v="0"/>
  </r>
  <r>
    <n v="1496"/>
    <x v="495"/>
    <x v="5"/>
    <x v="0"/>
    <n v="1"/>
    <n v="30973"/>
    <n v="30973"/>
    <x v="5"/>
    <x v="0"/>
    <x v="2"/>
  </r>
  <r>
    <n v="1497"/>
    <x v="496"/>
    <x v="6"/>
    <x v="3"/>
    <n v="5"/>
    <n v="756"/>
    <n v="3780"/>
    <x v="5"/>
    <x v="1"/>
    <x v="1"/>
  </r>
  <r>
    <n v="1498"/>
    <x v="497"/>
    <x v="7"/>
    <x v="1"/>
    <n v="1"/>
    <n v="966"/>
    <n v="966"/>
    <x v="2"/>
    <x v="0"/>
    <x v="0"/>
  </r>
  <r>
    <n v="1499"/>
    <x v="498"/>
    <x v="8"/>
    <x v="0"/>
    <n v="1"/>
    <n v="13343"/>
    <n v="13343"/>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69EF3F-E89C-47CD-9CE3-B6F5E9A77E98}"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I12:I13" firstHeaderRow="1" firstDataRow="1" firstDataCol="0"/>
  <pivotFields count="13">
    <pivotField dataField="1"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11">
        <item x="7"/>
        <item x="6"/>
        <item x="1"/>
        <item x="0"/>
        <item x="4"/>
        <item x="2"/>
        <item x="8"/>
        <item x="5"/>
        <item x="3"/>
        <item x="9"/>
        <item t="default"/>
      </items>
    </pivotField>
    <pivotField showAll="0">
      <items count="5">
        <item x="3"/>
        <item x="0"/>
        <item x="1"/>
        <item x="2"/>
        <item t="default"/>
      </items>
    </pivotField>
    <pivotField showAll="0"/>
    <pivotField numFmtId="165" showAll="0"/>
    <pivotField numFmtId="165" showAll="0"/>
    <pivotField showAll="0">
      <items count="7">
        <item x="4"/>
        <item x="0"/>
        <item x="1"/>
        <item x="3"/>
        <item x="5"/>
        <item x="2"/>
        <item t="default"/>
      </items>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16EE8-7642-450D-B4F8-1E55A559DB6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D17:E30"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sortType="descending">
      <items count="7">
        <item x="4"/>
        <item x="0"/>
        <item x="1"/>
        <item x="3"/>
        <item x="5"/>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_Sales" fld="6" baseField="0" baseItem="0" numFmtId="165"/>
  </dataFields>
  <chartFormats count="11">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73287A-8EE9-4BE5-804D-33B7691A936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J3:K7"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sortType="descending">
      <items count="7">
        <item x="4"/>
        <item x="0"/>
        <item x="1"/>
        <item x="3"/>
        <item x="5"/>
        <item x="2"/>
        <item t="default"/>
      </items>
      <autoSortScope>
        <pivotArea dataOnly="0" outline="0" fieldPosition="0">
          <references count="1">
            <reference field="4294967294" count="1" selected="0">
              <x v="0"/>
            </reference>
          </references>
        </pivotArea>
      </autoSortScope>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v="1"/>
    </i>
    <i>
      <x/>
    </i>
    <i>
      <x v="2"/>
    </i>
    <i t="grand">
      <x/>
    </i>
  </rowItems>
  <colItems count="1">
    <i/>
  </colItems>
  <dataFields count="1">
    <dataField name="Sum of Total_Sales" fld="6" baseField="0" baseItem="0" numFmtId="165"/>
  </dataFields>
  <chartFormats count="10">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8" count="1" selected="0">
            <x v="0"/>
          </reference>
        </references>
      </pivotArea>
    </chartFormat>
    <chartFormat chart="20" format="7">
      <pivotArea type="data" outline="0" fieldPosition="0">
        <references count="2">
          <reference field="4294967294" count="1" selected="0">
            <x v="0"/>
          </reference>
          <reference field="8" count="1" selected="0">
            <x v="1"/>
          </reference>
        </references>
      </pivotArea>
    </chartFormat>
    <chartFormat chart="20"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ADF355-BBB9-4508-B56F-F815EB1424F1}"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J12:K13" firstHeaderRow="0" firstDataRow="1" firstDataCol="0"/>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11">
        <item x="7"/>
        <item x="6"/>
        <item x="1"/>
        <item x="0"/>
        <item x="4"/>
        <item x="2"/>
        <item x="8"/>
        <item x="5"/>
        <item x="3"/>
        <item x="9"/>
        <item t="default"/>
      </items>
    </pivotField>
    <pivotField showAll="0">
      <items count="5">
        <item x="3"/>
        <item x="0"/>
        <item x="1"/>
        <item x="2"/>
        <item t="default"/>
      </items>
    </pivotField>
    <pivotField dataField="1" showAll="0"/>
    <pivotField dataField="1" numFmtId="165" showAll="0"/>
    <pivotField numFmtId="165" showAll="0"/>
    <pivotField showAll="0">
      <items count="7">
        <item x="4"/>
        <item x="0"/>
        <item x="1"/>
        <item x="3"/>
        <item x="5"/>
        <item x="2"/>
        <item t="default"/>
      </items>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Unit_Price" fld="5" baseField="0" baseItem="0" numFmtId="165"/>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AB49B9-DE2B-455E-813A-DA8F0CE9F36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3:E8"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items count="7">
        <item x="4"/>
        <item x="0"/>
        <item x="1"/>
        <item x="3"/>
        <item x="5"/>
        <item x="2"/>
        <item t="default"/>
      </items>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v="1"/>
    </i>
    <i>
      <x v="3"/>
    </i>
    <i>
      <x v="2"/>
    </i>
    <i>
      <x/>
    </i>
    <i t="grand">
      <x/>
    </i>
  </rowItems>
  <colItems count="1">
    <i/>
  </colItems>
  <dataFields count="1">
    <dataField name="Sum of Total_Sales" fld="6" baseField="0" baseItem="0" numFmtId="165"/>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8E13C6-7891-4C4C-9A41-19F00B3B1A6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G3:H10"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axis="axisRow" showAll="0" sortType="descending">
      <items count="7">
        <item x="4"/>
        <item x="0"/>
        <item x="1"/>
        <item x="3"/>
        <item x="5"/>
        <item x="2"/>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7">
    <i>
      <x v="5"/>
    </i>
    <i>
      <x v="3"/>
    </i>
    <i>
      <x v="4"/>
    </i>
    <i>
      <x/>
    </i>
    <i>
      <x v="1"/>
    </i>
    <i>
      <x v="2"/>
    </i>
    <i t="grand">
      <x/>
    </i>
  </rowItems>
  <colItems count="1">
    <i/>
  </colItems>
  <dataFields count="1">
    <dataField name="Sum of Total_Sales" fld="6" baseField="0" baseItem="0" numFmtId="165"/>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09E13A-E8FE-4F22-9B29-6FF79B209DF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H12:H13" firstHeaderRow="1" firstDataRow="1" firstDataCol="0"/>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11">
        <item x="7"/>
        <item x="6"/>
        <item x="1"/>
        <item x="0"/>
        <item x="4"/>
        <item x="2"/>
        <item x="8"/>
        <item x="5"/>
        <item x="3"/>
        <item x="9"/>
        <item t="default"/>
      </items>
    </pivotField>
    <pivotField showAll="0">
      <items count="5">
        <item x="3"/>
        <item x="0"/>
        <item x="1"/>
        <item x="2"/>
        <item t="default"/>
      </items>
    </pivotField>
    <pivotField showAll="0"/>
    <pivotField numFmtId="165" showAll="0"/>
    <pivotField dataField="1" numFmtId="165" showAll="0"/>
    <pivotField showAll="0">
      <items count="7">
        <item x="4"/>
        <item x="0"/>
        <item x="1"/>
        <item x="3"/>
        <item x="5"/>
        <item x="2"/>
        <item t="default"/>
      </items>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_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44D063-F001-451A-8946-B10D7C30288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4"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numFmtId="165" showAll="0"/>
    <pivotField dataField="1" numFmtId="165" showAll="0"/>
    <pivotField showAll="0">
      <items count="7">
        <item x="4"/>
        <item x="0"/>
        <item x="1"/>
        <item x="3"/>
        <item x="5"/>
        <item x="2"/>
        <item t="default"/>
      </items>
    </pivotField>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3"/>
    </i>
    <i>
      <x v="7"/>
    </i>
    <i>
      <x v="8"/>
    </i>
    <i>
      <x v="6"/>
    </i>
    <i>
      <x v="5"/>
    </i>
    <i>
      <x v="2"/>
    </i>
    <i>
      <x/>
    </i>
    <i>
      <x v="1"/>
    </i>
    <i>
      <x v="4"/>
    </i>
    <i>
      <x v="9"/>
    </i>
    <i t="grand">
      <x/>
    </i>
  </rowItems>
  <colItems count="1">
    <i/>
  </colItems>
  <dataFields count="1">
    <dataField name="Sum of Total_Sales" fld="6"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DFEAD8-3F56-46F0-984E-E5E326EC6A5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17:B21"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sortType="descending">
      <items count="7">
        <item x="4"/>
        <item x="0"/>
        <item x="1"/>
        <item x="3"/>
        <item x="5"/>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4">
    <i>
      <x v="1"/>
    </i>
    <i>
      <x v="2"/>
    </i>
    <i>
      <x/>
    </i>
    <i t="grand">
      <x/>
    </i>
  </rowItems>
  <colItems count="1">
    <i/>
  </colItems>
  <dataFields count="1">
    <dataField name="Sum of Total_Sales" fld="6" baseField="0" baseItem="0" numFmtId="165"/>
  </dataField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2C4197-047A-4DF3-A208-7743784DDA1F}" sourceName="Region">
  <pivotTables>
    <pivotTable tabId="5" name="PivotTable6"/>
    <pivotTable tabId="5" name="PivotTable1"/>
    <pivotTable tabId="5" name="PivotTable2"/>
    <pivotTable tabId="5" name="PivotTable3"/>
    <pivotTable tabId="5" name="PivotTable4"/>
    <pivotTable tabId="5" name="PivotTable5"/>
    <pivotTable tabId="5" name="PivotTable7"/>
    <pivotTable tabId="5" name="PivotTable11"/>
    <pivotTable tabId="5" name="PivotTable12"/>
  </pivotTables>
  <data>
    <tabular pivotCacheId="1833417848">
      <items count="6">
        <i x="4" s="1"/>
        <i x="0" s="1"/>
        <i x="1" s="1"/>
        <i x="3"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5D3A3B-BBF4-4130-80FA-123B6171E3CA}" sourceName="Category">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11"/>
    <pivotTable tabId="5" name="PivotTable12"/>
  </pivotTables>
  <data>
    <tabular pivotCacheId="183341784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DFD848D-F3BF-406D-9042-4C8D7FF0FEA1}" sourceName="Product_Name">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11"/>
    <pivotTable tabId="5" name="PivotTable12"/>
  </pivotTables>
  <data>
    <tabular pivotCacheId="1833417848">
      <items count="10">
        <i x="7" s="1"/>
        <i x="6" s="1"/>
        <i x="1" s="1"/>
        <i x="0" s="1"/>
        <i x="4" s="1"/>
        <i x="2" s="1"/>
        <i x="8" s="1"/>
        <i x="5" s="1"/>
        <i x="3"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8588B1D-86E2-458D-9061-B38564BD6B72}" sourceName="Payment_Method">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11"/>
    <pivotTable tabId="5" name="PivotTable12"/>
  </pivotTables>
  <data>
    <tabular pivotCacheId="18334178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323430-0FD2-40C2-BC28-C20716DB2CD7}" cache="Slicer_Region" caption="Region" columnCount="2" rowHeight="234950"/>
  <slicer name="Category" xr10:uid="{8B9C84D9-639D-4EC8-AEB2-C754D02A9A3F}" cache="Slicer_Category" caption="Category" rowHeight="234950"/>
  <slicer name="Product_Name" xr10:uid="{4405DA98-83CE-44A1-994A-CE39514D1A01}" cache="Slicer_Product_Name" caption="Product_Name" columnCount="2" rowHeight="234950"/>
  <slicer name="Payment_Method" xr10:uid="{F5BB924F-C620-4567-8BFF-32D35FCBB791}" cache="Slicer_Payment_Method" caption="Payment_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J500">
  <autoFilter ref="A1:J500" xr:uid="{00000000-0009-0000-0100-000001000000}"/>
  <tableColumns count="10">
    <tableColumn id="1" xr3:uid="{00000000-0010-0000-0000-000001000000}" name="Order_ID"/>
    <tableColumn id="2" xr3:uid="{00000000-0010-0000-0000-000002000000}" name="Order_Date"/>
    <tableColumn id="3" xr3:uid="{00000000-0010-0000-0000-000003000000}" name="Product_Name"/>
    <tableColumn id="4" xr3:uid="{00000000-0010-0000-0000-000004000000}" name="Category"/>
    <tableColumn id="5" xr3:uid="{00000000-0010-0000-0000-000005000000}" name="Quantity"/>
    <tableColumn id="6" xr3:uid="{00000000-0010-0000-0000-000006000000}" name="Unit_Price"/>
    <tableColumn id="7" xr3:uid="{00000000-0010-0000-0000-000007000000}" name="Total_Sales"/>
    <tableColumn id="8" xr3:uid="{00000000-0010-0000-0000-000008000000}" name="Region"/>
    <tableColumn id="9" xr3:uid="{00000000-0010-0000-0000-000009000000}" name="Customer_Type"/>
    <tableColumn id="10" xr3:uid="{00000000-0010-0000-0000-00000A000000}" name="Payment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FDF26D0-FC43-4D5E-B32F-4A6B1573E9F9}" sourceName="Order_Date">
  <pivotTables>
    <pivotTable tabId="5" name="PivotTable6"/>
    <pivotTable tabId="5" name="PivotTable1"/>
    <pivotTable tabId="5" name="PivotTable2"/>
    <pivotTable tabId="5" name="PivotTable3"/>
    <pivotTable tabId="5" name="PivotTable4"/>
    <pivotTable tabId="5" name="PivotTable5"/>
    <pivotTable tabId="5" name="PivotTable7"/>
    <pivotTable tabId="5" name="PivotTable11"/>
    <pivotTable tabId="5" name="PivotTable12"/>
  </pivotTables>
  <state minimalRefreshVersion="6" lastRefreshVersion="6" pivotCacheId="183341784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0EB9018-5031-439E-B4C5-3137A04FA0F0}" cache="NativeTimeline_Order_Date" caption="Order_Date"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
  <sheetViews>
    <sheetView showGridLines="0" tabSelected="1" zoomScale="97" zoomScaleNormal="55" workbookViewId="0">
      <pane ySplit="4" topLeftCell="A5" activePane="bottomLeft" state="frozen"/>
      <selection pane="bottomLeft" activeCell="Q16" sqref="Q16"/>
    </sheetView>
  </sheetViews>
  <sheetFormatPr defaultRowHeight="14.4" x14ac:dyDescent="0.3"/>
  <cols>
    <col min="1" max="14" width="13" customWidth="1"/>
  </cols>
  <sheetData>
    <row r="1" spans="1:14" ht="30" customHeight="1" x14ac:dyDescent="0.3">
      <c r="A1" s="9" t="s">
        <v>0</v>
      </c>
      <c r="B1" s="10"/>
      <c r="C1" s="10"/>
      <c r="D1" s="10"/>
      <c r="E1" s="10"/>
      <c r="F1" s="10"/>
      <c r="G1" s="10"/>
      <c r="H1" s="10"/>
      <c r="I1" s="10"/>
      <c r="J1" s="10"/>
      <c r="K1" s="10"/>
      <c r="L1" s="10"/>
      <c r="M1" s="10"/>
      <c r="N1" s="10"/>
    </row>
    <row r="2" spans="1:14" ht="25.05" customHeight="1" x14ac:dyDescent="0.3">
      <c r="A2" s="10"/>
      <c r="B2" s="10"/>
      <c r="C2" s="10"/>
      <c r="D2" s="10"/>
      <c r="E2" s="10"/>
      <c r="F2" s="10"/>
      <c r="G2" s="10"/>
      <c r="H2" s="10"/>
      <c r="I2" s="10"/>
      <c r="J2" s="10"/>
      <c r="K2" s="10"/>
      <c r="L2" s="10"/>
      <c r="M2" s="10"/>
      <c r="N2" s="10"/>
    </row>
    <row r="3" spans="1:14" x14ac:dyDescent="0.3">
      <c r="A3" s="29"/>
      <c r="B3" s="30"/>
      <c r="C3" s="30"/>
      <c r="D3" s="30"/>
      <c r="E3" s="30"/>
      <c r="F3" s="30"/>
      <c r="G3" s="30"/>
      <c r="H3" s="30"/>
      <c r="I3" s="30"/>
      <c r="J3" s="30"/>
      <c r="K3" s="30"/>
      <c r="L3" s="30"/>
      <c r="M3" s="30"/>
      <c r="N3" s="30"/>
    </row>
    <row r="4" spans="1:14" x14ac:dyDescent="0.3">
      <c r="A4" s="30"/>
      <c r="B4" s="30"/>
      <c r="C4" s="30"/>
      <c r="D4" s="30"/>
      <c r="E4" s="30"/>
      <c r="F4" s="30"/>
      <c r="G4" s="30"/>
      <c r="H4" s="30"/>
      <c r="I4" s="30"/>
      <c r="J4" s="30"/>
      <c r="K4" s="30"/>
      <c r="L4" s="30"/>
      <c r="M4" s="30"/>
      <c r="N4" s="30"/>
    </row>
    <row r="5" spans="1:14" x14ac:dyDescent="0.3">
      <c r="A5" s="13" t="s">
        <v>6</v>
      </c>
      <c r="B5" s="14"/>
      <c r="C5" s="14"/>
      <c r="D5" s="26" t="s">
        <v>7</v>
      </c>
      <c r="E5" s="27"/>
      <c r="F5" s="27"/>
      <c r="G5" s="17" t="s">
        <v>8</v>
      </c>
      <c r="H5" s="18"/>
      <c r="I5" s="18"/>
      <c r="J5" s="19" t="s">
        <v>9</v>
      </c>
      <c r="K5" s="20"/>
      <c r="L5" s="20"/>
      <c r="M5" s="28" t="s">
        <v>10</v>
      </c>
      <c r="N5" s="27"/>
    </row>
    <row r="6" spans="1:14" x14ac:dyDescent="0.3">
      <c r="A6" s="21">
        <f>GETPIVOTDATA("Total_Sales",Calculation!$H$12)</f>
        <v>9445124</v>
      </c>
      <c r="B6" s="22"/>
      <c r="C6" s="22"/>
      <c r="D6" s="24">
        <f>GETPIVOTDATA("Order_ID",Calculation!$I$12)</f>
        <v>499</v>
      </c>
      <c r="E6" s="25"/>
      <c r="F6" s="25"/>
      <c r="G6" s="15">
        <f>GETPIVOTDATA("Sum of Quantity",Calculation!$J$12)</f>
        <v>1163</v>
      </c>
      <c r="H6" s="16"/>
      <c r="I6" s="16"/>
      <c r="J6" s="23">
        <f>IFERROR(A6/D6,0)</f>
        <v>18928.104208416833</v>
      </c>
      <c r="K6" s="14"/>
      <c r="L6" s="14"/>
      <c r="M6" s="11">
        <f>IFERROR(A6/G6,0)</f>
        <v>8121.3447979363718</v>
      </c>
      <c r="N6" s="12"/>
    </row>
    <row r="7" spans="1:14" x14ac:dyDescent="0.3">
      <c r="A7" s="22"/>
      <c r="B7" s="22"/>
      <c r="C7" s="22"/>
      <c r="D7" s="25"/>
      <c r="E7" s="25"/>
      <c r="F7" s="25"/>
      <c r="G7" s="16"/>
      <c r="H7" s="16"/>
      <c r="I7" s="16"/>
      <c r="J7" s="14"/>
      <c r="K7" s="14"/>
      <c r="L7" s="14"/>
      <c r="M7" s="12"/>
      <c r="N7" s="12"/>
    </row>
    <row r="53" spans="1:14" x14ac:dyDescent="0.3">
      <c r="A53" s="7" t="s">
        <v>64</v>
      </c>
      <c r="B53" s="8"/>
      <c r="C53" s="8"/>
      <c r="D53" s="8"/>
      <c r="E53" s="8"/>
      <c r="F53" s="8"/>
      <c r="G53" s="8"/>
      <c r="H53" s="8"/>
      <c r="I53" s="8"/>
      <c r="J53" s="8"/>
      <c r="K53" s="8"/>
      <c r="L53" s="8"/>
      <c r="M53" s="8"/>
      <c r="N53" s="8"/>
    </row>
    <row r="54" spans="1:14" x14ac:dyDescent="0.3">
      <c r="A54" s="8"/>
      <c r="B54" s="8"/>
      <c r="C54" s="8"/>
      <c r="D54" s="8"/>
      <c r="E54" s="8"/>
      <c r="F54" s="8"/>
      <c r="G54" s="8"/>
      <c r="H54" s="8"/>
      <c r="I54" s="8"/>
      <c r="J54" s="8"/>
      <c r="K54" s="8"/>
      <c r="L54" s="8"/>
      <c r="M54" s="8"/>
      <c r="N54" s="8"/>
    </row>
    <row r="55" spans="1:14" x14ac:dyDescent="0.3">
      <c r="A55" s="8"/>
      <c r="B55" s="8"/>
      <c r="C55" s="8"/>
      <c r="D55" s="8"/>
      <c r="E55" s="8"/>
      <c r="F55" s="8"/>
      <c r="G55" s="8"/>
      <c r="H55" s="8"/>
      <c r="I55" s="8"/>
      <c r="J55" s="8"/>
      <c r="K55" s="8"/>
      <c r="L55" s="8"/>
      <c r="M55" s="8"/>
      <c r="N55" s="8"/>
    </row>
    <row r="56" spans="1:14" x14ac:dyDescent="0.3">
      <c r="A56" s="8"/>
      <c r="B56" s="8"/>
      <c r="C56" s="8"/>
      <c r="D56" s="8"/>
      <c r="E56" s="8"/>
      <c r="F56" s="8"/>
      <c r="G56" s="8"/>
      <c r="H56" s="8"/>
      <c r="I56" s="8"/>
      <c r="J56" s="8"/>
      <c r="K56" s="8"/>
      <c r="L56" s="8"/>
      <c r="M56" s="8"/>
      <c r="N56" s="8"/>
    </row>
    <row r="57" spans="1:14" x14ac:dyDescent="0.3">
      <c r="A57" s="8"/>
      <c r="B57" s="8"/>
      <c r="C57" s="8"/>
      <c r="D57" s="8"/>
      <c r="E57" s="8"/>
      <c r="F57" s="8"/>
      <c r="G57" s="8"/>
      <c r="H57" s="8"/>
      <c r="I57" s="8"/>
      <c r="J57" s="8"/>
      <c r="K57" s="8"/>
      <c r="L57" s="8"/>
      <c r="M57" s="8"/>
      <c r="N57" s="8"/>
    </row>
    <row r="58" spans="1:14" x14ac:dyDescent="0.3">
      <c r="A58" s="8"/>
      <c r="B58" s="8"/>
      <c r="C58" s="8"/>
      <c r="D58" s="8"/>
      <c r="E58" s="8"/>
      <c r="F58" s="8"/>
      <c r="G58" s="8"/>
      <c r="H58" s="8"/>
      <c r="I58" s="8"/>
      <c r="J58" s="8"/>
      <c r="K58" s="8"/>
      <c r="L58" s="8"/>
      <c r="M58" s="8"/>
      <c r="N58" s="8"/>
    </row>
    <row r="59" spans="1:14" x14ac:dyDescent="0.3">
      <c r="A59" s="8"/>
      <c r="B59" s="8"/>
      <c r="C59" s="8"/>
      <c r="D59" s="8"/>
      <c r="E59" s="8"/>
      <c r="F59" s="8"/>
      <c r="G59" s="8"/>
      <c r="H59" s="8"/>
      <c r="I59" s="8"/>
      <c r="J59" s="8"/>
      <c r="K59" s="8"/>
      <c r="L59" s="8"/>
      <c r="M59" s="8"/>
      <c r="N59" s="8"/>
    </row>
    <row r="60" spans="1:14" x14ac:dyDescent="0.3">
      <c r="A60" s="8"/>
      <c r="B60" s="8"/>
      <c r="C60" s="8"/>
      <c r="D60" s="8"/>
      <c r="E60" s="8"/>
      <c r="F60" s="8"/>
      <c r="G60" s="8"/>
      <c r="H60" s="8"/>
      <c r="I60" s="8"/>
      <c r="J60" s="8"/>
      <c r="K60" s="8"/>
      <c r="L60" s="8"/>
      <c r="M60" s="8"/>
      <c r="N60" s="8"/>
    </row>
    <row r="61" spans="1:14" x14ac:dyDescent="0.3">
      <c r="A61" s="8"/>
      <c r="B61" s="8"/>
      <c r="C61" s="8"/>
      <c r="D61" s="8"/>
      <c r="E61" s="8"/>
      <c r="F61" s="8"/>
      <c r="G61" s="8"/>
      <c r="H61" s="8"/>
      <c r="I61" s="8"/>
      <c r="J61" s="8"/>
      <c r="K61" s="8"/>
      <c r="L61" s="8"/>
      <c r="M61" s="8"/>
      <c r="N61" s="8"/>
    </row>
    <row r="62" spans="1:14" x14ac:dyDescent="0.3">
      <c r="A62" s="8"/>
      <c r="B62" s="8"/>
      <c r="C62" s="8"/>
      <c r="D62" s="8"/>
      <c r="E62" s="8"/>
      <c r="F62" s="8"/>
      <c r="G62" s="8"/>
      <c r="H62" s="8"/>
      <c r="I62" s="8"/>
      <c r="J62" s="8"/>
      <c r="K62" s="8"/>
      <c r="L62" s="8"/>
      <c r="M62" s="8"/>
      <c r="N62" s="8"/>
    </row>
    <row r="63" spans="1:14" x14ac:dyDescent="0.3">
      <c r="A63" s="8"/>
      <c r="B63" s="8"/>
      <c r="C63" s="8"/>
      <c r="D63" s="8"/>
      <c r="E63" s="8"/>
      <c r="F63" s="8"/>
      <c r="G63" s="8"/>
      <c r="H63" s="8"/>
      <c r="I63" s="8"/>
      <c r="J63" s="8"/>
      <c r="K63" s="8"/>
      <c r="L63" s="8"/>
      <c r="M63" s="8"/>
      <c r="N63" s="8"/>
    </row>
    <row r="72" spans="16:16" x14ac:dyDescent="0.3">
      <c r="P72" s="6"/>
    </row>
  </sheetData>
  <mergeCells count="13">
    <mergeCell ref="A53:N63"/>
    <mergeCell ref="A1:N2"/>
    <mergeCell ref="M6:N7"/>
    <mergeCell ref="A5:C5"/>
    <mergeCell ref="G6:I7"/>
    <mergeCell ref="G5:I5"/>
    <mergeCell ref="J5:L5"/>
    <mergeCell ref="A6:C7"/>
    <mergeCell ref="J6:L7"/>
    <mergeCell ref="D6:F7"/>
    <mergeCell ref="D5:F5"/>
    <mergeCell ref="M5:N5"/>
    <mergeCell ref="A3:N4"/>
  </mergeCells>
  <pageMargins left="0.75" right="0.75" top="1" bottom="1" header="0.5" footer="0.5"/>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40050-40C2-433B-AA96-FCAD076A9BAE}">
  <dimension ref="A3:K30"/>
  <sheetViews>
    <sheetView workbookViewId="0">
      <selection activeCell="K13" sqref="K13"/>
    </sheetView>
  </sheetViews>
  <sheetFormatPr defaultRowHeight="14.4" x14ac:dyDescent="0.3"/>
  <cols>
    <col min="1" max="1" width="12.5546875" bestFit="1" customWidth="1"/>
    <col min="2" max="2" width="17" bestFit="1" customWidth="1"/>
    <col min="4" max="4" width="12.5546875" bestFit="1" customWidth="1"/>
    <col min="5" max="5" width="17" bestFit="1" customWidth="1"/>
    <col min="7" max="7" width="12.5546875" bestFit="1" customWidth="1"/>
    <col min="8" max="8" width="17" bestFit="1" customWidth="1"/>
    <col min="9" max="9" width="16.44140625" bestFit="1" customWidth="1"/>
    <col min="10" max="10" width="16.21875" bestFit="1" customWidth="1"/>
    <col min="11" max="11" width="14.88671875" bestFit="1" customWidth="1"/>
  </cols>
  <sheetData>
    <row r="3" spans="1:11" x14ac:dyDescent="0.3">
      <c r="A3" s="4" t="s">
        <v>46</v>
      </c>
      <c r="B3" t="s">
        <v>48</v>
      </c>
      <c r="D3" s="4" t="s">
        <v>46</v>
      </c>
      <c r="E3" t="s">
        <v>48</v>
      </c>
      <c r="G3" s="4" t="s">
        <v>46</v>
      </c>
      <c r="H3" t="s">
        <v>48</v>
      </c>
      <c r="J3" s="4" t="s">
        <v>46</v>
      </c>
      <c r="K3" t="s">
        <v>48</v>
      </c>
    </row>
    <row r="4" spans="1:11" x14ac:dyDescent="0.3">
      <c r="A4" s="5" t="s">
        <v>19</v>
      </c>
      <c r="B4" s="3">
        <v>4118275</v>
      </c>
      <c r="D4" s="5" t="s">
        <v>20</v>
      </c>
      <c r="E4" s="3">
        <v>7054016</v>
      </c>
      <c r="G4" s="5" t="s">
        <v>32</v>
      </c>
      <c r="H4" s="3">
        <v>1962356</v>
      </c>
      <c r="J4" s="5" t="s">
        <v>22</v>
      </c>
      <c r="K4" s="3">
        <v>3537128</v>
      </c>
    </row>
    <row r="5" spans="1:11" x14ac:dyDescent="0.3">
      <c r="A5" s="5" t="s">
        <v>34</v>
      </c>
      <c r="B5" s="3">
        <v>1906910</v>
      </c>
      <c r="D5" s="5" t="s">
        <v>31</v>
      </c>
      <c r="E5" s="3">
        <v>1830240</v>
      </c>
      <c r="G5" s="5" t="s">
        <v>39</v>
      </c>
      <c r="H5" s="3">
        <v>1841745</v>
      </c>
      <c r="J5" s="5" t="s">
        <v>26</v>
      </c>
      <c r="K5" s="3">
        <v>3306792</v>
      </c>
    </row>
    <row r="6" spans="1:11" x14ac:dyDescent="0.3">
      <c r="A6" s="5" t="s">
        <v>30</v>
      </c>
      <c r="B6" s="3">
        <v>1687820</v>
      </c>
      <c r="D6" s="5" t="s">
        <v>29</v>
      </c>
      <c r="E6" s="3">
        <v>479967</v>
      </c>
      <c r="G6" s="5" t="s">
        <v>44</v>
      </c>
      <c r="H6" s="3">
        <v>1555683</v>
      </c>
      <c r="J6" s="5" t="s">
        <v>35</v>
      </c>
      <c r="K6" s="3">
        <v>2601204</v>
      </c>
    </row>
    <row r="7" spans="1:11" x14ac:dyDescent="0.3">
      <c r="A7" s="5" t="s">
        <v>42</v>
      </c>
      <c r="B7" s="3">
        <v>728307</v>
      </c>
      <c r="D7" s="5" t="s">
        <v>38</v>
      </c>
      <c r="E7" s="3">
        <v>80901</v>
      </c>
      <c r="G7" s="5" t="s">
        <v>41</v>
      </c>
      <c r="H7" s="3">
        <v>1506635</v>
      </c>
      <c r="J7" s="5" t="s">
        <v>47</v>
      </c>
      <c r="K7" s="3">
        <v>9445124</v>
      </c>
    </row>
    <row r="8" spans="1:11" x14ac:dyDescent="0.3">
      <c r="A8" s="5" t="s">
        <v>28</v>
      </c>
      <c r="B8" s="3">
        <v>311239</v>
      </c>
      <c r="D8" s="5" t="s">
        <v>47</v>
      </c>
      <c r="E8" s="3">
        <v>9445124</v>
      </c>
      <c r="G8" s="5" t="s">
        <v>21</v>
      </c>
      <c r="H8" s="3">
        <v>1502056</v>
      </c>
    </row>
    <row r="9" spans="1:11" x14ac:dyDescent="0.3">
      <c r="A9" s="5" t="s">
        <v>24</v>
      </c>
      <c r="B9" s="3">
        <v>300524</v>
      </c>
      <c r="G9" s="5" t="s">
        <v>25</v>
      </c>
      <c r="H9" s="3">
        <v>1076649</v>
      </c>
    </row>
    <row r="10" spans="1:11" x14ac:dyDescent="0.3">
      <c r="A10" s="5" t="s">
        <v>40</v>
      </c>
      <c r="B10" s="3">
        <v>168728</v>
      </c>
      <c r="G10" s="5" t="s">
        <v>47</v>
      </c>
      <c r="H10" s="3">
        <v>9445124</v>
      </c>
    </row>
    <row r="11" spans="1:11" x14ac:dyDescent="0.3">
      <c r="A11" s="5" t="s">
        <v>37</v>
      </c>
      <c r="B11" s="3">
        <v>80901</v>
      </c>
    </row>
    <row r="12" spans="1:11" x14ac:dyDescent="0.3">
      <c r="A12" s="5" t="s">
        <v>33</v>
      </c>
      <c r="B12" s="3">
        <v>75229</v>
      </c>
      <c r="H12" t="s">
        <v>48</v>
      </c>
      <c r="I12" t="s">
        <v>61</v>
      </c>
      <c r="J12" t="s">
        <v>62</v>
      </c>
      <c r="K12" t="s">
        <v>63</v>
      </c>
    </row>
    <row r="13" spans="1:11" x14ac:dyDescent="0.3">
      <c r="A13" s="5" t="s">
        <v>43</v>
      </c>
      <c r="B13" s="3">
        <v>67191</v>
      </c>
      <c r="H13" s="3">
        <v>9445124</v>
      </c>
      <c r="I13">
        <v>499</v>
      </c>
      <c r="J13" s="3">
        <v>5498537</v>
      </c>
      <c r="K13">
        <v>1163</v>
      </c>
    </row>
    <row r="14" spans="1:11" x14ac:dyDescent="0.3">
      <c r="A14" s="5" t="s">
        <v>47</v>
      </c>
      <c r="B14" s="3">
        <v>9445124</v>
      </c>
    </row>
    <row r="17" spans="1:5" x14ac:dyDescent="0.3">
      <c r="A17" s="4" t="s">
        <v>46</v>
      </c>
      <c r="B17" t="s">
        <v>48</v>
      </c>
      <c r="D17" s="4" t="s">
        <v>46</v>
      </c>
      <c r="E17" t="s">
        <v>48</v>
      </c>
    </row>
    <row r="18" spans="1:5" x14ac:dyDescent="0.3">
      <c r="A18" s="5" t="s">
        <v>36</v>
      </c>
      <c r="B18" s="3">
        <v>3634879</v>
      </c>
      <c r="D18" s="5" t="s">
        <v>49</v>
      </c>
      <c r="E18" s="3">
        <v>1162766</v>
      </c>
    </row>
    <row r="19" spans="1:5" x14ac:dyDescent="0.3">
      <c r="A19" s="5" t="s">
        <v>27</v>
      </c>
      <c r="B19" s="3">
        <v>3149983</v>
      </c>
      <c r="D19" s="5" t="s">
        <v>50</v>
      </c>
      <c r="E19" s="3">
        <v>1126805</v>
      </c>
    </row>
    <row r="20" spans="1:5" x14ac:dyDescent="0.3">
      <c r="A20" s="5" t="s">
        <v>23</v>
      </c>
      <c r="B20" s="3">
        <v>2660262</v>
      </c>
      <c r="D20" s="5" t="s">
        <v>51</v>
      </c>
      <c r="E20" s="3">
        <v>1204732</v>
      </c>
    </row>
    <row r="21" spans="1:5" x14ac:dyDescent="0.3">
      <c r="A21" s="5" t="s">
        <v>47</v>
      </c>
      <c r="B21" s="3">
        <v>9445124</v>
      </c>
      <c r="D21" s="5" t="s">
        <v>52</v>
      </c>
      <c r="E21" s="3">
        <v>1040963</v>
      </c>
    </row>
    <row r="22" spans="1:5" x14ac:dyDescent="0.3">
      <c r="D22" s="5" t="s">
        <v>53</v>
      </c>
      <c r="E22" s="3">
        <v>806533</v>
      </c>
    </row>
    <row r="23" spans="1:5" x14ac:dyDescent="0.3">
      <c r="D23" s="5" t="s">
        <v>54</v>
      </c>
      <c r="E23" s="3">
        <v>590105</v>
      </c>
    </row>
    <row r="24" spans="1:5" x14ac:dyDescent="0.3">
      <c r="D24" s="5" t="s">
        <v>55</v>
      </c>
      <c r="E24" s="3">
        <v>689777</v>
      </c>
    </row>
    <row r="25" spans="1:5" x14ac:dyDescent="0.3">
      <c r="D25" s="5" t="s">
        <v>56</v>
      </c>
      <c r="E25" s="3">
        <v>502941</v>
      </c>
    </row>
    <row r="26" spans="1:5" x14ac:dyDescent="0.3">
      <c r="D26" s="5" t="s">
        <v>57</v>
      </c>
      <c r="E26" s="3">
        <v>466775</v>
      </c>
    </row>
    <row r="27" spans="1:5" x14ac:dyDescent="0.3">
      <c r="D27" s="5" t="s">
        <v>58</v>
      </c>
      <c r="E27" s="3">
        <v>478704</v>
      </c>
    </row>
    <row r="28" spans="1:5" x14ac:dyDescent="0.3">
      <c r="D28" s="5" t="s">
        <v>59</v>
      </c>
      <c r="E28" s="3">
        <v>693532</v>
      </c>
    </row>
    <row r="29" spans="1:5" x14ac:dyDescent="0.3">
      <c r="D29" s="5" t="s">
        <v>60</v>
      </c>
      <c r="E29" s="3">
        <v>681491</v>
      </c>
    </row>
    <row r="30" spans="1:5" x14ac:dyDescent="0.3">
      <c r="D30" s="5" t="s">
        <v>47</v>
      </c>
      <c r="E30" s="3">
        <v>9445124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0"/>
  <sheetViews>
    <sheetView workbookViewId="0">
      <pane ySplit="1" topLeftCell="A2" activePane="bottomLeft" state="frozen"/>
      <selection pane="bottomLeft" sqref="A1:J500"/>
    </sheetView>
  </sheetViews>
  <sheetFormatPr defaultRowHeight="14.4" x14ac:dyDescent="0.3"/>
  <cols>
    <col min="1" max="1" width="12" customWidth="1"/>
    <col min="2" max="2" width="14" customWidth="1"/>
    <col min="3" max="3" width="18" customWidth="1"/>
    <col min="4" max="4" width="16" customWidth="1"/>
    <col min="5" max="5" width="10" customWidth="1"/>
    <col min="6" max="6" width="13" customWidth="1"/>
    <col min="7" max="8" width="14" customWidth="1"/>
    <col min="9" max="9" width="16" customWidth="1"/>
    <col min="10" max="10" width="18" customWidth="1"/>
  </cols>
  <sheetData>
    <row r="1" spans="1:10" x14ac:dyDescent="0.3">
      <c r="A1" s="1" t="s">
        <v>11</v>
      </c>
      <c r="B1" s="1" t="s">
        <v>12</v>
      </c>
      <c r="C1" s="1" t="s">
        <v>13</v>
      </c>
      <c r="D1" s="1" t="s">
        <v>2</v>
      </c>
      <c r="E1" s="1" t="s">
        <v>14</v>
      </c>
      <c r="F1" s="1" t="s">
        <v>15</v>
      </c>
      <c r="G1" s="1" t="s">
        <v>16</v>
      </c>
      <c r="H1" s="1" t="s">
        <v>1</v>
      </c>
      <c r="I1" s="1" t="s">
        <v>17</v>
      </c>
      <c r="J1" s="1" t="s">
        <v>18</v>
      </c>
    </row>
    <row r="2" spans="1:10" x14ac:dyDescent="0.3">
      <c r="A2">
        <v>1001</v>
      </c>
      <c r="B2" s="2">
        <v>45659</v>
      </c>
      <c r="C2" t="s">
        <v>19</v>
      </c>
      <c r="D2" t="s">
        <v>20</v>
      </c>
      <c r="E2">
        <v>2</v>
      </c>
      <c r="F2" s="3">
        <v>50353</v>
      </c>
      <c r="G2" s="3">
        <v>100706</v>
      </c>
      <c r="H2" t="s">
        <v>21</v>
      </c>
      <c r="I2" t="s">
        <v>22</v>
      </c>
      <c r="J2" t="s">
        <v>23</v>
      </c>
    </row>
    <row r="3" spans="1:10" x14ac:dyDescent="0.3">
      <c r="A3">
        <v>1002</v>
      </c>
      <c r="B3" s="2">
        <v>45660</v>
      </c>
      <c r="C3" t="s">
        <v>24</v>
      </c>
      <c r="D3" t="s">
        <v>20</v>
      </c>
      <c r="E3">
        <v>2</v>
      </c>
      <c r="F3" s="3">
        <v>2008</v>
      </c>
      <c r="G3" s="3">
        <v>4016</v>
      </c>
      <c r="H3" t="s">
        <v>25</v>
      </c>
      <c r="I3" t="s">
        <v>26</v>
      </c>
      <c r="J3" t="s">
        <v>27</v>
      </c>
    </row>
    <row r="4" spans="1:10" x14ac:dyDescent="0.3">
      <c r="A4">
        <v>1003</v>
      </c>
      <c r="B4" s="2">
        <v>45661</v>
      </c>
      <c r="C4" t="s">
        <v>28</v>
      </c>
      <c r="D4" t="s">
        <v>29</v>
      </c>
      <c r="E4">
        <v>1</v>
      </c>
      <c r="F4" s="3">
        <v>4736</v>
      </c>
      <c r="G4" s="3">
        <v>4736</v>
      </c>
      <c r="H4" t="s">
        <v>21</v>
      </c>
      <c r="I4" t="s">
        <v>26</v>
      </c>
      <c r="J4" t="s">
        <v>27</v>
      </c>
    </row>
    <row r="5" spans="1:10" x14ac:dyDescent="0.3">
      <c r="A5">
        <v>1004</v>
      </c>
      <c r="B5" s="2">
        <v>45662</v>
      </c>
      <c r="C5" t="s">
        <v>30</v>
      </c>
      <c r="D5" t="s">
        <v>31</v>
      </c>
      <c r="E5">
        <v>2</v>
      </c>
      <c r="F5" s="3">
        <v>10072</v>
      </c>
      <c r="G5" s="3">
        <v>20144</v>
      </c>
      <c r="H5" t="s">
        <v>32</v>
      </c>
      <c r="I5" t="s">
        <v>22</v>
      </c>
      <c r="J5" t="s">
        <v>23</v>
      </c>
    </row>
    <row r="6" spans="1:10" x14ac:dyDescent="0.3">
      <c r="A6">
        <v>1005</v>
      </c>
      <c r="B6" s="2">
        <v>45663</v>
      </c>
      <c r="C6" t="s">
        <v>33</v>
      </c>
      <c r="D6" t="s">
        <v>31</v>
      </c>
      <c r="E6">
        <v>2</v>
      </c>
      <c r="F6" s="3">
        <v>920</v>
      </c>
      <c r="G6" s="3">
        <v>1840</v>
      </c>
      <c r="H6" t="s">
        <v>32</v>
      </c>
      <c r="I6" t="s">
        <v>26</v>
      </c>
      <c r="J6" t="s">
        <v>27</v>
      </c>
    </row>
    <row r="7" spans="1:10" x14ac:dyDescent="0.3">
      <c r="A7">
        <v>1006</v>
      </c>
      <c r="B7" s="2">
        <v>45664</v>
      </c>
      <c r="C7" t="s">
        <v>34</v>
      </c>
      <c r="D7" t="s">
        <v>20</v>
      </c>
      <c r="E7">
        <v>1</v>
      </c>
      <c r="F7" s="3">
        <v>13225</v>
      </c>
      <c r="G7" s="3">
        <v>13225</v>
      </c>
      <c r="H7" t="s">
        <v>25</v>
      </c>
      <c r="I7" t="s">
        <v>35</v>
      </c>
      <c r="J7" t="s">
        <v>36</v>
      </c>
    </row>
    <row r="8" spans="1:10" x14ac:dyDescent="0.3">
      <c r="A8">
        <v>1007</v>
      </c>
      <c r="B8" s="2">
        <v>45665</v>
      </c>
      <c r="C8" t="s">
        <v>37</v>
      </c>
      <c r="D8" t="s">
        <v>38</v>
      </c>
      <c r="E8">
        <v>3</v>
      </c>
      <c r="F8" s="3">
        <v>621</v>
      </c>
      <c r="G8" s="3">
        <v>1863</v>
      </c>
      <c r="H8" t="s">
        <v>39</v>
      </c>
      <c r="I8" t="s">
        <v>22</v>
      </c>
      <c r="J8" t="s">
        <v>27</v>
      </c>
    </row>
    <row r="9" spans="1:10" x14ac:dyDescent="0.3">
      <c r="A9">
        <v>1008</v>
      </c>
      <c r="B9" s="2">
        <v>45666</v>
      </c>
      <c r="C9" t="s">
        <v>40</v>
      </c>
      <c r="D9" t="s">
        <v>29</v>
      </c>
      <c r="E9">
        <v>2</v>
      </c>
      <c r="F9" s="3">
        <v>905</v>
      </c>
      <c r="G9" s="3">
        <v>1810</v>
      </c>
      <c r="H9" t="s">
        <v>41</v>
      </c>
      <c r="I9" t="s">
        <v>26</v>
      </c>
      <c r="J9" t="s">
        <v>36</v>
      </c>
    </row>
    <row r="10" spans="1:10" x14ac:dyDescent="0.3">
      <c r="A10">
        <v>1009</v>
      </c>
      <c r="B10" s="2">
        <v>45667</v>
      </c>
      <c r="C10" t="s">
        <v>42</v>
      </c>
      <c r="D10" t="s">
        <v>20</v>
      </c>
      <c r="E10">
        <v>1</v>
      </c>
      <c r="F10" s="3">
        <v>8563</v>
      </c>
      <c r="G10" s="3">
        <v>8563</v>
      </c>
      <c r="H10" t="s">
        <v>39</v>
      </c>
      <c r="I10" t="s">
        <v>35</v>
      </c>
      <c r="J10" t="s">
        <v>23</v>
      </c>
    </row>
    <row r="11" spans="1:10" x14ac:dyDescent="0.3">
      <c r="A11">
        <v>1010</v>
      </c>
      <c r="B11" s="2">
        <v>45668</v>
      </c>
      <c r="C11" t="s">
        <v>43</v>
      </c>
      <c r="D11" t="s">
        <v>31</v>
      </c>
      <c r="E11">
        <v>1</v>
      </c>
      <c r="F11" s="3">
        <v>268</v>
      </c>
      <c r="G11" s="3">
        <v>268</v>
      </c>
      <c r="H11" t="s">
        <v>21</v>
      </c>
      <c r="I11" t="s">
        <v>26</v>
      </c>
      <c r="J11" t="s">
        <v>27</v>
      </c>
    </row>
    <row r="12" spans="1:10" x14ac:dyDescent="0.3">
      <c r="A12">
        <v>1011</v>
      </c>
      <c r="B12" s="2">
        <v>45669</v>
      </c>
      <c r="C12" t="s">
        <v>19</v>
      </c>
      <c r="D12" t="s">
        <v>20</v>
      </c>
      <c r="E12">
        <v>2</v>
      </c>
      <c r="F12" s="3">
        <v>54018</v>
      </c>
      <c r="G12" s="3">
        <v>108036</v>
      </c>
      <c r="H12" t="s">
        <v>39</v>
      </c>
      <c r="I12" t="s">
        <v>35</v>
      </c>
      <c r="J12" t="s">
        <v>23</v>
      </c>
    </row>
    <row r="13" spans="1:10" x14ac:dyDescent="0.3">
      <c r="A13">
        <v>1012</v>
      </c>
      <c r="B13" s="2">
        <v>45670</v>
      </c>
      <c r="C13" t="s">
        <v>24</v>
      </c>
      <c r="D13" t="s">
        <v>20</v>
      </c>
      <c r="E13">
        <v>3</v>
      </c>
      <c r="F13" s="3">
        <v>4762</v>
      </c>
      <c r="G13" s="3">
        <v>14286</v>
      </c>
      <c r="H13" t="s">
        <v>25</v>
      </c>
      <c r="I13" t="s">
        <v>35</v>
      </c>
      <c r="J13" t="s">
        <v>27</v>
      </c>
    </row>
    <row r="14" spans="1:10" x14ac:dyDescent="0.3">
      <c r="A14">
        <v>1013</v>
      </c>
      <c r="B14" s="2">
        <v>45671</v>
      </c>
      <c r="C14" t="s">
        <v>28</v>
      </c>
      <c r="D14" t="s">
        <v>29</v>
      </c>
      <c r="E14">
        <v>2</v>
      </c>
      <c r="F14" s="3">
        <v>4880</v>
      </c>
      <c r="G14" s="3">
        <v>9760</v>
      </c>
      <c r="H14" t="s">
        <v>32</v>
      </c>
      <c r="I14" t="s">
        <v>35</v>
      </c>
      <c r="J14" t="s">
        <v>36</v>
      </c>
    </row>
    <row r="15" spans="1:10" x14ac:dyDescent="0.3">
      <c r="A15">
        <v>1014</v>
      </c>
      <c r="B15" s="2">
        <v>45672</v>
      </c>
      <c r="C15" t="s">
        <v>30</v>
      </c>
      <c r="D15" t="s">
        <v>31</v>
      </c>
      <c r="E15">
        <v>1</v>
      </c>
      <c r="F15" s="3">
        <v>8508</v>
      </c>
      <c r="G15" s="3">
        <v>8508</v>
      </c>
      <c r="H15" t="s">
        <v>21</v>
      </c>
      <c r="I15" t="s">
        <v>35</v>
      </c>
      <c r="J15" t="s">
        <v>23</v>
      </c>
    </row>
    <row r="16" spans="1:10" x14ac:dyDescent="0.3">
      <c r="A16">
        <v>1015</v>
      </c>
      <c r="B16" s="2">
        <v>45673</v>
      </c>
      <c r="C16" t="s">
        <v>33</v>
      </c>
      <c r="D16" t="s">
        <v>31</v>
      </c>
      <c r="E16">
        <v>4</v>
      </c>
      <c r="F16" s="3">
        <v>119</v>
      </c>
      <c r="G16" s="3">
        <v>476</v>
      </c>
      <c r="H16" t="s">
        <v>21</v>
      </c>
      <c r="I16" t="s">
        <v>26</v>
      </c>
      <c r="J16" t="s">
        <v>27</v>
      </c>
    </row>
    <row r="17" spans="1:10" x14ac:dyDescent="0.3">
      <c r="A17">
        <v>1016</v>
      </c>
      <c r="B17" s="2">
        <v>45674</v>
      </c>
      <c r="C17" t="s">
        <v>34</v>
      </c>
      <c r="D17" t="s">
        <v>20</v>
      </c>
      <c r="E17">
        <v>1</v>
      </c>
      <c r="F17" s="3">
        <v>37589</v>
      </c>
      <c r="G17" s="3">
        <v>37589</v>
      </c>
      <c r="H17" t="s">
        <v>44</v>
      </c>
      <c r="I17" t="s">
        <v>26</v>
      </c>
      <c r="J17" t="s">
        <v>36</v>
      </c>
    </row>
    <row r="18" spans="1:10" x14ac:dyDescent="0.3">
      <c r="A18">
        <v>1017</v>
      </c>
      <c r="B18" s="2">
        <v>45675</v>
      </c>
      <c r="C18" t="s">
        <v>37</v>
      </c>
      <c r="D18" t="s">
        <v>38</v>
      </c>
      <c r="E18">
        <v>1</v>
      </c>
      <c r="F18" s="3">
        <v>781</v>
      </c>
      <c r="G18" s="3">
        <v>781</v>
      </c>
      <c r="H18" t="s">
        <v>25</v>
      </c>
      <c r="I18" t="s">
        <v>22</v>
      </c>
      <c r="J18" t="s">
        <v>27</v>
      </c>
    </row>
    <row r="19" spans="1:10" x14ac:dyDescent="0.3">
      <c r="A19">
        <v>1018</v>
      </c>
      <c r="B19" s="2">
        <v>45676</v>
      </c>
      <c r="C19" t="s">
        <v>40</v>
      </c>
      <c r="D19" t="s">
        <v>29</v>
      </c>
      <c r="E19">
        <v>5</v>
      </c>
      <c r="F19" s="3">
        <v>809</v>
      </c>
      <c r="G19" s="3">
        <v>4045</v>
      </c>
      <c r="H19" t="s">
        <v>44</v>
      </c>
      <c r="I19" t="s">
        <v>22</v>
      </c>
      <c r="J19" t="s">
        <v>27</v>
      </c>
    </row>
    <row r="20" spans="1:10" x14ac:dyDescent="0.3">
      <c r="A20">
        <v>1019</v>
      </c>
      <c r="B20" s="2">
        <v>45677</v>
      </c>
      <c r="C20" t="s">
        <v>42</v>
      </c>
      <c r="D20" t="s">
        <v>20</v>
      </c>
      <c r="E20">
        <v>2</v>
      </c>
      <c r="F20" s="3">
        <v>4129</v>
      </c>
      <c r="G20" s="3">
        <v>8258</v>
      </c>
      <c r="H20" t="s">
        <v>32</v>
      </c>
      <c r="I20" t="s">
        <v>22</v>
      </c>
      <c r="J20" t="s">
        <v>27</v>
      </c>
    </row>
    <row r="21" spans="1:10" x14ac:dyDescent="0.3">
      <c r="A21">
        <v>1020</v>
      </c>
      <c r="B21" s="2">
        <v>45678</v>
      </c>
      <c r="C21" t="s">
        <v>43</v>
      </c>
      <c r="D21" t="s">
        <v>31</v>
      </c>
      <c r="E21">
        <v>4</v>
      </c>
      <c r="F21" s="3">
        <v>168</v>
      </c>
      <c r="G21" s="3">
        <v>672</v>
      </c>
      <c r="H21" t="s">
        <v>25</v>
      </c>
      <c r="I21" t="s">
        <v>35</v>
      </c>
      <c r="J21" t="s">
        <v>36</v>
      </c>
    </row>
    <row r="22" spans="1:10" x14ac:dyDescent="0.3">
      <c r="A22">
        <v>1021</v>
      </c>
      <c r="B22" s="2">
        <v>45679</v>
      </c>
      <c r="C22" t="s">
        <v>19</v>
      </c>
      <c r="D22" t="s">
        <v>20</v>
      </c>
      <c r="E22">
        <v>2</v>
      </c>
      <c r="F22" s="3">
        <v>68516</v>
      </c>
      <c r="G22" s="3">
        <v>137032</v>
      </c>
      <c r="H22" t="s">
        <v>32</v>
      </c>
      <c r="I22" t="s">
        <v>22</v>
      </c>
      <c r="J22" t="s">
        <v>36</v>
      </c>
    </row>
    <row r="23" spans="1:10" x14ac:dyDescent="0.3">
      <c r="A23">
        <v>1022</v>
      </c>
      <c r="B23" s="2">
        <v>45680</v>
      </c>
      <c r="C23" t="s">
        <v>24</v>
      </c>
      <c r="D23" t="s">
        <v>20</v>
      </c>
      <c r="E23">
        <v>1</v>
      </c>
      <c r="F23" s="3">
        <v>3985</v>
      </c>
      <c r="G23" s="3">
        <v>3985</v>
      </c>
      <c r="H23" t="s">
        <v>44</v>
      </c>
      <c r="I23" t="s">
        <v>26</v>
      </c>
      <c r="J23" t="s">
        <v>23</v>
      </c>
    </row>
    <row r="24" spans="1:10" x14ac:dyDescent="0.3">
      <c r="A24">
        <v>1023</v>
      </c>
      <c r="B24" s="2">
        <v>45681</v>
      </c>
      <c r="C24" t="s">
        <v>28</v>
      </c>
      <c r="D24" t="s">
        <v>29</v>
      </c>
      <c r="E24">
        <v>1</v>
      </c>
      <c r="F24" s="3">
        <v>2380</v>
      </c>
      <c r="G24" s="3">
        <v>2380</v>
      </c>
      <c r="H24" t="s">
        <v>44</v>
      </c>
      <c r="I24" t="s">
        <v>35</v>
      </c>
      <c r="J24" t="s">
        <v>27</v>
      </c>
    </row>
    <row r="25" spans="1:10" x14ac:dyDescent="0.3">
      <c r="A25">
        <v>1024</v>
      </c>
      <c r="B25" s="2">
        <v>45682</v>
      </c>
      <c r="C25" t="s">
        <v>30</v>
      </c>
      <c r="D25" t="s">
        <v>31</v>
      </c>
      <c r="E25">
        <v>3</v>
      </c>
      <c r="F25" s="3">
        <v>13522</v>
      </c>
      <c r="G25" s="3">
        <v>40566</v>
      </c>
      <c r="H25" t="s">
        <v>41</v>
      </c>
      <c r="I25" t="s">
        <v>26</v>
      </c>
      <c r="J25" t="s">
        <v>27</v>
      </c>
    </row>
    <row r="26" spans="1:10" x14ac:dyDescent="0.3">
      <c r="A26">
        <v>1025</v>
      </c>
      <c r="B26" s="2">
        <v>45683</v>
      </c>
      <c r="C26" t="s">
        <v>33</v>
      </c>
      <c r="D26" t="s">
        <v>31</v>
      </c>
      <c r="E26">
        <v>1</v>
      </c>
      <c r="F26" s="3">
        <v>340</v>
      </c>
      <c r="G26" s="3">
        <v>340</v>
      </c>
      <c r="H26" t="s">
        <v>32</v>
      </c>
      <c r="I26" t="s">
        <v>22</v>
      </c>
      <c r="J26" t="s">
        <v>36</v>
      </c>
    </row>
    <row r="27" spans="1:10" x14ac:dyDescent="0.3">
      <c r="A27">
        <v>1026</v>
      </c>
      <c r="B27" s="2">
        <v>45684</v>
      </c>
      <c r="C27" t="s">
        <v>34</v>
      </c>
      <c r="D27" t="s">
        <v>20</v>
      </c>
      <c r="E27">
        <v>1</v>
      </c>
      <c r="F27" s="3">
        <v>34153</v>
      </c>
      <c r="G27" s="3">
        <v>34153</v>
      </c>
      <c r="H27" t="s">
        <v>41</v>
      </c>
      <c r="I27" t="s">
        <v>35</v>
      </c>
      <c r="J27" t="s">
        <v>27</v>
      </c>
    </row>
    <row r="28" spans="1:10" x14ac:dyDescent="0.3">
      <c r="A28">
        <v>1027</v>
      </c>
      <c r="B28" s="2">
        <v>45685</v>
      </c>
      <c r="C28" t="s">
        <v>37</v>
      </c>
      <c r="D28" t="s">
        <v>38</v>
      </c>
      <c r="E28">
        <v>1</v>
      </c>
      <c r="F28" s="3">
        <v>884</v>
      </c>
      <c r="G28" s="3">
        <v>884</v>
      </c>
      <c r="H28" t="s">
        <v>25</v>
      </c>
      <c r="I28" t="s">
        <v>35</v>
      </c>
      <c r="J28" t="s">
        <v>27</v>
      </c>
    </row>
    <row r="29" spans="1:10" x14ac:dyDescent="0.3">
      <c r="A29">
        <v>1028</v>
      </c>
      <c r="B29" s="2">
        <v>45686</v>
      </c>
      <c r="C29" t="s">
        <v>40</v>
      </c>
      <c r="D29" t="s">
        <v>29</v>
      </c>
      <c r="E29">
        <v>1</v>
      </c>
      <c r="F29" s="3">
        <v>1961</v>
      </c>
      <c r="G29" s="3">
        <v>1961</v>
      </c>
      <c r="H29" t="s">
        <v>32</v>
      </c>
      <c r="I29" t="s">
        <v>26</v>
      </c>
      <c r="J29" t="s">
        <v>36</v>
      </c>
    </row>
    <row r="30" spans="1:10" x14ac:dyDescent="0.3">
      <c r="A30">
        <v>1029</v>
      </c>
      <c r="B30" s="2">
        <v>45687</v>
      </c>
      <c r="C30" t="s">
        <v>42</v>
      </c>
      <c r="D30" t="s">
        <v>20</v>
      </c>
      <c r="E30">
        <v>1</v>
      </c>
      <c r="F30" s="3">
        <v>7608</v>
      </c>
      <c r="G30" s="3">
        <v>7608</v>
      </c>
      <c r="H30" t="s">
        <v>32</v>
      </c>
      <c r="I30" t="s">
        <v>22</v>
      </c>
      <c r="J30" t="s">
        <v>27</v>
      </c>
    </row>
    <row r="31" spans="1:10" x14ac:dyDescent="0.3">
      <c r="A31">
        <v>1030</v>
      </c>
      <c r="B31" s="2">
        <v>45688</v>
      </c>
      <c r="C31" t="s">
        <v>43</v>
      </c>
      <c r="D31" t="s">
        <v>31</v>
      </c>
      <c r="E31">
        <v>5</v>
      </c>
      <c r="F31" s="3">
        <v>126</v>
      </c>
      <c r="G31" s="3">
        <v>630</v>
      </c>
      <c r="H31" t="s">
        <v>39</v>
      </c>
      <c r="I31" t="s">
        <v>22</v>
      </c>
      <c r="J31" t="s">
        <v>36</v>
      </c>
    </row>
    <row r="32" spans="1:10" x14ac:dyDescent="0.3">
      <c r="A32">
        <v>1031</v>
      </c>
      <c r="B32" s="2">
        <v>45689</v>
      </c>
      <c r="C32" t="s">
        <v>19</v>
      </c>
      <c r="D32" t="s">
        <v>20</v>
      </c>
      <c r="E32">
        <v>1</v>
      </c>
      <c r="F32" s="3">
        <v>68088</v>
      </c>
      <c r="G32" s="3">
        <v>68088</v>
      </c>
      <c r="H32" t="s">
        <v>39</v>
      </c>
      <c r="I32" t="s">
        <v>26</v>
      </c>
      <c r="J32" t="s">
        <v>36</v>
      </c>
    </row>
    <row r="33" spans="1:10" x14ac:dyDescent="0.3">
      <c r="A33">
        <v>1032</v>
      </c>
      <c r="B33" s="2">
        <v>45690</v>
      </c>
      <c r="C33" t="s">
        <v>24</v>
      </c>
      <c r="D33" t="s">
        <v>20</v>
      </c>
      <c r="E33">
        <v>3</v>
      </c>
      <c r="F33" s="3">
        <v>2723</v>
      </c>
      <c r="G33" s="3">
        <v>8169</v>
      </c>
      <c r="H33" t="s">
        <v>25</v>
      </c>
      <c r="I33" t="s">
        <v>26</v>
      </c>
      <c r="J33" t="s">
        <v>27</v>
      </c>
    </row>
    <row r="34" spans="1:10" x14ac:dyDescent="0.3">
      <c r="A34">
        <v>1033</v>
      </c>
      <c r="B34" s="2">
        <v>45691</v>
      </c>
      <c r="C34" t="s">
        <v>28</v>
      </c>
      <c r="D34" t="s">
        <v>29</v>
      </c>
      <c r="E34">
        <v>1</v>
      </c>
      <c r="F34" s="3">
        <v>4157</v>
      </c>
      <c r="G34" s="3">
        <v>4157</v>
      </c>
      <c r="H34" t="s">
        <v>44</v>
      </c>
      <c r="I34" t="s">
        <v>26</v>
      </c>
      <c r="J34" t="s">
        <v>36</v>
      </c>
    </row>
    <row r="35" spans="1:10" x14ac:dyDescent="0.3">
      <c r="A35">
        <v>1034</v>
      </c>
      <c r="B35" s="2">
        <v>45692</v>
      </c>
      <c r="C35" t="s">
        <v>30</v>
      </c>
      <c r="D35" t="s">
        <v>31</v>
      </c>
      <c r="E35">
        <v>3</v>
      </c>
      <c r="F35" s="3">
        <v>3589</v>
      </c>
      <c r="G35" s="3">
        <v>10767</v>
      </c>
      <c r="H35" t="s">
        <v>32</v>
      </c>
      <c r="I35" t="s">
        <v>35</v>
      </c>
      <c r="J35" t="s">
        <v>27</v>
      </c>
    </row>
    <row r="36" spans="1:10" x14ac:dyDescent="0.3">
      <c r="A36">
        <v>1035</v>
      </c>
      <c r="B36" s="2">
        <v>45693</v>
      </c>
      <c r="C36" t="s">
        <v>33</v>
      </c>
      <c r="D36" t="s">
        <v>31</v>
      </c>
      <c r="E36">
        <v>3</v>
      </c>
      <c r="F36" s="3">
        <v>414</v>
      </c>
      <c r="G36" s="3">
        <v>1242</v>
      </c>
      <c r="H36" t="s">
        <v>25</v>
      </c>
      <c r="I36" t="s">
        <v>35</v>
      </c>
      <c r="J36" t="s">
        <v>27</v>
      </c>
    </row>
    <row r="37" spans="1:10" x14ac:dyDescent="0.3">
      <c r="A37">
        <v>1036</v>
      </c>
      <c r="B37" s="2">
        <v>45694</v>
      </c>
      <c r="C37" t="s">
        <v>34</v>
      </c>
      <c r="D37" t="s">
        <v>20</v>
      </c>
      <c r="E37">
        <v>2</v>
      </c>
      <c r="F37" s="3">
        <v>15134</v>
      </c>
      <c r="G37" s="3">
        <v>30268</v>
      </c>
      <c r="H37" t="s">
        <v>41</v>
      </c>
      <c r="I37" t="s">
        <v>35</v>
      </c>
      <c r="J37" t="s">
        <v>23</v>
      </c>
    </row>
    <row r="38" spans="1:10" x14ac:dyDescent="0.3">
      <c r="A38">
        <v>1037</v>
      </c>
      <c r="B38" s="2">
        <v>45695</v>
      </c>
      <c r="C38" t="s">
        <v>37</v>
      </c>
      <c r="D38" t="s">
        <v>38</v>
      </c>
      <c r="E38">
        <v>5</v>
      </c>
      <c r="F38" s="3">
        <v>605</v>
      </c>
      <c r="G38" s="3">
        <v>3025</v>
      </c>
      <c r="H38" t="s">
        <v>39</v>
      </c>
      <c r="I38" t="s">
        <v>35</v>
      </c>
      <c r="J38" t="s">
        <v>23</v>
      </c>
    </row>
    <row r="39" spans="1:10" x14ac:dyDescent="0.3">
      <c r="A39">
        <v>1038</v>
      </c>
      <c r="B39" s="2">
        <v>45696</v>
      </c>
      <c r="C39" t="s">
        <v>40</v>
      </c>
      <c r="D39" t="s">
        <v>29</v>
      </c>
      <c r="E39">
        <v>3</v>
      </c>
      <c r="F39" s="3">
        <v>1857</v>
      </c>
      <c r="G39" s="3">
        <v>5571</v>
      </c>
      <c r="H39" t="s">
        <v>25</v>
      </c>
      <c r="I39" t="s">
        <v>35</v>
      </c>
      <c r="J39" t="s">
        <v>23</v>
      </c>
    </row>
    <row r="40" spans="1:10" x14ac:dyDescent="0.3">
      <c r="A40">
        <v>1039</v>
      </c>
      <c r="B40" s="2">
        <v>45697</v>
      </c>
      <c r="C40" t="s">
        <v>42</v>
      </c>
      <c r="D40" t="s">
        <v>20</v>
      </c>
      <c r="E40">
        <v>1</v>
      </c>
      <c r="F40" s="3">
        <v>5190</v>
      </c>
      <c r="G40" s="3">
        <v>5190</v>
      </c>
      <c r="H40" t="s">
        <v>21</v>
      </c>
      <c r="I40" t="s">
        <v>35</v>
      </c>
      <c r="J40" t="s">
        <v>36</v>
      </c>
    </row>
    <row r="41" spans="1:10" x14ac:dyDescent="0.3">
      <c r="A41">
        <v>1040</v>
      </c>
      <c r="B41" s="2">
        <v>45698</v>
      </c>
      <c r="C41" t="s">
        <v>43</v>
      </c>
      <c r="D41" t="s">
        <v>31</v>
      </c>
      <c r="E41">
        <v>4</v>
      </c>
      <c r="F41" s="3">
        <v>338</v>
      </c>
      <c r="G41" s="3">
        <v>1352</v>
      </c>
      <c r="H41" t="s">
        <v>41</v>
      </c>
      <c r="I41" t="s">
        <v>22</v>
      </c>
      <c r="J41" t="s">
        <v>36</v>
      </c>
    </row>
    <row r="42" spans="1:10" x14ac:dyDescent="0.3">
      <c r="A42">
        <v>1041</v>
      </c>
      <c r="B42" s="2">
        <v>45699</v>
      </c>
      <c r="C42" t="s">
        <v>19</v>
      </c>
      <c r="D42" t="s">
        <v>20</v>
      </c>
      <c r="E42">
        <v>1</v>
      </c>
      <c r="F42" s="3">
        <v>52555</v>
      </c>
      <c r="G42" s="3">
        <v>52555</v>
      </c>
      <c r="H42" t="s">
        <v>39</v>
      </c>
      <c r="I42" t="s">
        <v>26</v>
      </c>
      <c r="J42" t="s">
        <v>36</v>
      </c>
    </row>
    <row r="43" spans="1:10" x14ac:dyDescent="0.3">
      <c r="A43">
        <v>1042</v>
      </c>
      <c r="B43" s="2">
        <v>45700</v>
      </c>
      <c r="C43" t="s">
        <v>24</v>
      </c>
      <c r="D43" t="s">
        <v>20</v>
      </c>
      <c r="E43">
        <v>1</v>
      </c>
      <c r="F43" s="3">
        <v>2478</v>
      </c>
      <c r="G43" s="3">
        <v>2478</v>
      </c>
      <c r="H43" t="s">
        <v>25</v>
      </c>
      <c r="I43" t="s">
        <v>35</v>
      </c>
      <c r="J43" t="s">
        <v>27</v>
      </c>
    </row>
    <row r="44" spans="1:10" x14ac:dyDescent="0.3">
      <c r="A44">
        <v>1043</v>
      </c>
      <c r="B44" s="2">
        <v>45701</v>
      </c>
      <c r="C44" t="s">
        <v>28</v>
      </c>
      <c r="D44" t="s">
        <v>29</v>
      </c>
      <c r="E44">
        <v>2</v>
      </c>
      <c r="F44" s="3">
        <v>4368</v>
      </c>
      <c r="G44" s="3">
        <v>8736</v>
      </c>
      <c r="H44" t="s">
        <v>21</v>
      </c>
      <c r="I44" t="s">
        <v>35</v>
      </c>
      <c r="J44" t="s">
        <v>36</v>
      </c>
    </row>
    <row r="45" spans="1:10" x14ac:dyDescent="0.3">
      <c r="A45">
        <v>1044</v>
      </c>
      <c r="B45" s="2">
        <v>45702</v>
      </c>
      <c r="C45" t="s">
        <v>30</v>
      </c>
      <c r="D45" t="s">
        <v>31</v>
      </c>
      <c r="E45">
        <v>5</v>
      </c>
      <c r="F45" s="3">
        <v>4294</v>
      </c>
      <c r="G45" s="3">
        <v>21470</v>
      </c>
      <c r="H45" t="s">
        <v>32</v>
      </c>
      <c r="I45" t="s">
        <v>35</v>
      </c>
      <c r="J45" t="s">
        <v>27</v>
      </c>
    </row>
    <row r="46" spans="1:10" x14ac:dyDescent="0.3">
      <c r="A46">
        <v>1045</v>
      </c>
      <c r="B46" s="2">
        <v>45703</v>
      </c>
      <c r="C46" t="s">
        <v>33</v>
      </c>
      <c r="D46" t="s">
        <v>31</v>
      </c>
      <c r="E46">
        <v>5</v>
      </c>
      <c r="F46" s="3">
        <v>877</v>
      </c>
      <c r="G46" s="3">
        <v>4385</v>
      </c>
      <c r="H46" t="s">
        <v>21</v>
      </c>
      <c r="I46" t="s">
        <v>22</v>
      </c>
      <c r="J46" t="s">
        <v>23</v>
      </c>
    </row>
    <row r="47" spans="1:10" x14ac:dyDescent="0.3">
      <c r="A47">
        <v>1046</v>
      </c>
      <c r="B47" s="2">
        <v>45704</v>
      </c>
      <c r="C47" t="s">
        <v>34</v>
      </c>
      <c r="D47" t="s">
        <v>20</v>
      </c>
      <c r="E47">
        <v>2</v>
      </c>
      <c r="F47" s="3">
        <v>35059</v>
      </c>
      <c r="G47" s="3">
        <v>70118</v>
      </c>
      <c r="H47" t="s">
        <v>39</v>
      </c>
      <c r="I47" t="s">
        <v>22</v>
      </c>
      <c r="J47" t="s">
        <v>27</v>
      </c>
    </row>
    <row r="48" spans="1:10" x14ac:dyDescent="0.3">
      <c r="A48">
        <v>1047</v>
      </c>
      <c r="B48" s="2">
        <v>45705</v>
      </c>
      <c r="C48" t="s">
        <v>37</v>
      </c>
      <c r="D48" t="s">
        <v>38</v>
      </c>
      <c r="E48">
        <v>3</v>
      </c>
      <c r="F48" s="3">
        <v>935</v>
      </c>
      <c r="G48" s="3">
        <v>2805</v>
      </c>
      <c r="H48" t="s">
        <v>21</v>
      </c>
      <c r="I48" t="s">
        <v>26</v>
      </c>
      <c r="J48" t="s">
        <v>27</v>
      </c>
    </row>
    <row r="49" spans="1:10" x14ac:dyDescent="0.3">
      <c r="A49">
        <v>1048</v>
      </c>
      <c r="B49" s="2">
        <v>45706</v>
      </c>
      <c r="C49" t="s">
        <v>40</v>
      </c>
      <c r="D49" t="s">
        <v>29</v>
      </c>
      <c r="E49">
        <v>1</v>
      </c>
      <c r="F49" s="3">
        <v>1978</v>
      </c>
      <c r="G49" s="3">
        <v>1978</v>
      </c>
      <c r="H49" t="s">
        <v>21</v>
      </c>
      <c r="I49" t="s">
        <v>26</v>
      </c>
      <c r="J49" t="s">
        <v>23</v>
      </c>
    </row>
    <row r="50" spans="1:10" x14ac:dyDescent="0.3">
      <c r="A50">
        <v>1049</v>
      </c>
      <c r="B50" s="2">
        <v>45707</v>
      </c>
      <c r="C50" t="s">
        <v>42</v>
      </c>
      <c r="D50" t="s">
        <v>20</v>
      </c>
      <c r="E50">
        <v>2</v>
      </c>
      <c r="F50" s="3">
        <v>14326</v>
      </c>
      <c r="G50" s="3">
        <v>28652</v>
      </c>
      <c r="H50" t="s">
        <v>44</v>
      </c>
      <c r="I50" t="s">
        <v>22</v>
      </c>
      <c r="J50" t="s">
        <v>23</v>
      </c>
    </row>
    <row r="51" spans="1:10" x14ac:dyDescent="0.3">
      <c r="A51">
        <v>1050</v>
      </c>
      <c r="B51" s="2">
        <v>45708</v>
      </c>
      <c r="C51" t="s">
        <v>43</v>
      </c>
      <c r="D51" t="s">
        <v>31</v>
      </c>
      <c r="E51">
        <v>3</v>
      </c>
      <c r="F51" s="3">
        <v>100</v>
      </c>
      <c r="G51" s="3">
        <v>300</v>
      </c>
      <c r="H51" t="s">
        <v>44</v>
      </c>
      <c r="I51" t="s">
        <v>26</v>
      </c>
      <c r="J51" t="s">
        <v>23</v>
      </c>
    </row>
    <row r="52" spans="1:10" x14ac:dyDescent="0.3">
      <c r="A52">
        <v>1051</v>
      </c>
      <c r="B52" s="2">
        <v>45709</v>
      </c>
      <c r="C52" t="s">
        <v>19</v>
      </c>
      <c r="D52" t="s">
        <v>20</v>
      </c>
      <c r="E52">
        <v>2</v>
      </c>
      <c r="F52" s="3">
        <v>54846</v>
      </c>
      <c r="G52" s="3">
        <v>109692</v>
      </c>
      <c r="H52" t="s">
        <v>21</v>
      </c>
      <c r="I52" t="s">
        <v>26</v>
      </c>
      <c r="J52" t="s">
        <v>36</v>
      </c>
    </row>
    <row r="53" spans="1:10" x14ac:dyDescent="0.3">
      <c r="A53">
        <v>1052</v>
      </c>
      <c r="B53" s="2">
        <v>45710</v>
      </c>
      <c r="C53" t="s">
        <v>24</v>
      </c>
      <c r="D53" t="s">
        <v>20</v>
      </c>
      <c r="E53">
        <v>3</v>
      </c>
      <c r="F53" s="3">
        <v>4855</v>
      </c>
      <c r="G53" s="3">
        <v>14565</v>
      </c>
      <c r="H53" t="s">
        <v>21</v>
      </c>
      <c r="I53" t="s">
        <v>26</v>
      </c>
      <c r="J53" t="s">
        <v>23</v>
      </c>
    </row>
    <row r="54" spans="1:10" x14ac:dyDescent="0.3">
      <c r="A54">
        <v>1053</v>
      </c>
      <c r="B54" s="2">
        <v>45711</v>
      </c>
      <c r="C54" t="s">
        <v>28</v>
      </c>
      <c r="D54" t="s">
        <v>29</v>
      </c>
      <c r="E54">
        <v>3</v>
      </c>
      <c r="F54" s="3">
        <v>1718</v>
      </c>
      <c r="G54" s="3">
        <v>5154</v>
      </c>
      <c r="H54" t="s">
        <v>39</v>
      </c>
      <c r="I54" t="s">
        <v>22</v>
      </c>
      <c r="J54" t="s">
        <v>27</v>
      </c>
    </row>
    <row r="55" spans="1:10" x14ac:dyDescent="0.3">
      <c r="A55">
        <v>1054</v>
      </c>
      <c r="B55" s="2">
        <v>45712</v>
      </c>
      <c r="C55" t="s">
        <v>30</v>
      </c>
      <c r="D55" t="s">
        <v>31</v>
      </c>
      <c r="E55">
        <v>5</v>
      </c>
      <c r="F55" s="3">
        <v>17415</v>
      </c>
      <c r="G55" s="3">
        <v>87075</v>
      </c>
      <c r="H55" t="s">
        <v>32</v>
      </c>
      <c r="I55" t="s">
        <v>26</v>
      </c>
      <c r="J55" t="s">
        <v>36</v>
      </c>
    </row>
    <row r="56" spans="1:10" x14ac:dyDescent="0.3">
      <c r="A56">
        <v>1055</v>
      </c>
      <c r="B56" s="2">
        <v>45713</v>
      </c>
      <c r="C56" t="s">
        <v>33</v>
      </c>
      <c r="D56" t="s">
        <v>31</v>
      </c>
      <c r="E56">
        <v>3</v>
      </c>
      <c r="F56" s="3">
        <v>661</v>
      </c>
      <c r="G56" s="3">
        <v>1983</v>
      </c>
      <c r="H56" t="s">
        <v>44</v>
      </c>
      <c r="I56" t="s">
        <v>26</v>
      </c>
      <c r="J56" t="s">
        <v>27</v>
      </c>
    </row>
    <row r="57" spans="1:10" x14ac:dyDescent="0.3">
      <c r="A57">
        <v>1056</v>
      </c>
      <c r="B57" s="2">
        <v>45714</v>
      </c>
      <c r="C57" t="s">
        <v>34</v>
      </c>
      <c r="D57" t="s">
        <v>20</v>
      </c>
      <c r="E57">
        <v>2</v>
      </c>
      <c r="F57" s="3">
        <v>30075</v>
      </c>
      <c r="G57" s="3">
        <v>60150</v>
      </c>
      <c r="H57" t="s">
        <v>32</v>
      </c>
      <c r="I57" t="s">
        <v>35</v>
      </c>
      <c r="J57" t="s">
        <v>23</v>
      </c>
    </row>
    <row r="58" spans="1:10" x14ac:dyDescent="0.3">
      <c r="A58">
        <v>1057</v>
      </c>
      <c r="B58" s="2">
        <v>45715</v>
      </c>
      <c r="C58" t="s">
        <v>37</v>
      </c>
      <c r="D58" t="s">
        <v>38</v>
      </c>
      <c r="E58">
        <v>3</v>
      </c>
      <c r="F58" s="3">
        <v>387</v>
      </c>
      <c r="G58" s="3">
        <v>1161</v>
      </c>
      <c r="H58" t="s">
        <v>39</v>
      </c>
      <c r="I58" t="s">
        <v>22</v>
      </c>
      <c r="J58" t="s">
        <v>23</v>
      </c>
    </row>
    <row r="59" spans="1:10" x14ac:dyDescent="0.3">
      <c r="A59">
        <v>1058</v>
      </c>
      <c r="B59" s="2">
        <v>45716</v>
      </c>
      <c r="C59" t="s">
        <v>40</v>
      </c>
      <c r="D59" t="s">
        <v>29</v>
      </c>
      <c r="E59">
        <v>5</v>
      </c>
      <c r="F59" s="3">
        <v>1084</v>
      </c>
      <c r="G59" s="3">
        <v>5420</v>
      </c>
      <c r="H59" t="s">
        <v>44</v>
      </c>
      <c r="I59" t="s">
        <v>26</v>
      </c>
      <c r="J59" t="s">
        <v>27</v>
      </c>
    </row>
    <row r="60" spans="1:10" x14ac:dyDescent="0.3">
      <c r="A60">
        <v>1059</v>
      </c>
      <c r="B60" s="2">
        <v>45717</v>
      </c>
      <c r="C60" t="s">
        <v>42</v>
      </c>
      <c r="D60" t="s">
        <v>20</v>
      </c>
      <c r="E60">
        <v>1</v>
      </c>
      <c r="F60" s="3">
        <v>11559</v>
      </c>
      <c r="G60" s="3">
        <v>11559</v>
      </c>
      <c r="H60" t="s">
        <v>44</v>
      </c>
      <c r="I60" t="s">
        <v>26</v>
      </c>
      <c r="J60" t="s">
        <v>23</v>
      </c>
    </row>
    <row r="61" spans="1:10" x14ac:dyDescent="0.3">
      <c r="A61">
        <v>1060</v>
      </c>
      <c r="B61" s="2">
        <v>45718</v>
      </c>
      <c r="C61" t="s">
        <v>43</v>
      </c>
      <c r="D61" t="s">
        <v>31</v>
      </c>
      <c r="E61">
        <v>5</v>
      </c>
      <c r="F61" s="3">
        <v>717</v>
      </c>
      <c r="G61" s="3">
        <v>3585</v>
      </c>
      <c r="H61" t="s">
        <v>25</v>
      </c>
      <c r="I61" t="s">
        <v>22</v>
      </c>
      <c r="J61" t="s">
        <v>27</v>
      </c>
    </row>
    <row r="62" spans="1:10" x14ac:dyDescent="0.3">
      <c r="A62">
        <v>1061</v>
      </c>
      <c r="B62" s="2">
        <v>45719</v>
      </c>
      <c r="C62" t="s">
        <v>19</v>
      </c>
      <c r="D62" t="s">
        <v>20</v>
      </c>
      <c r="E62">
        <v>2</v>
      </c>
      <c r="F62" s="3">
        <v>51590</v>
      </c>
      <c r="G62" s="3">
        <v>103180</v>
      </c>
      <c r="H62" t="s">
        <v>32</v>
      </c>
      <c r="I62" t="s">
        <v>35</v>
      </c>
      <c r="J62" t="s">
        <v>36</v>
      </c>
    </row>
    <row r="63" spans="1:10" x14ac:dyDescent="0.3">
      <c r="A63">
        <v>1062</v>
      </c>
      <c r="B63" s="2">
        <v>45720</v>
      </c>
      <c r="C63" t="s">
        <v>24</v>
      </c>
      <c r="D63" t="s">
        <v>20</v>
      </c>
      <c r="E63">
        <v>2</v>
      </c>
      <c r="F63" s="3">
        <v>2555</v>
      </c>
      <c r="G63" s="3">
        <v>5110</v>
      </c>
      <c r="H63" t="s">
        <v>41</v>
      </c>
      <c r="I63" t="s">
        <v>26</v>
      </c>
      <c r="J63" t="s">
        <v>27</v>
      </c>
    </row>
    <row r="64" spans="1:10" x14ac:dyDescent="0.3">
      <c r="A64">
        <v>1063</v>
      </c>
      <c r="B64" s="2">
        <v>45721</v>
      </c>
      <c r="C64" t="s">
        <v>28</v>
      </c>
      <c r="D64" t="s">
        <v>29</v>
      </c>
      <c r="E64">
        <v>3</v>
      </c>
      <c r="F64" s="3">
        <v>3601</v>
      </c>
      <c r="G64" s="3">
        <v>10803</v>
      </c>
      <c r="H64" t="s">
        <v>32</v>
      </c>
      <c r="I64" t="s">
        <v>26</v>
      </c>
      <c r="J64" t="s">
        <v>36</v>
      </c>
    </row>
    <row r="65" spans="1:10" x14ac:dyDescent="0.3">
      <c r="A65">
        <v>1064</v>
      </c>
      <c r="B65" s="2">
        <v>45722</v>
      </c>
      <c r="C65" t="s">
        <v>30</v>
      </c>
      <c r="D65" t="s">
        <v>31</v>
      </c>
      <c r="E65">
        <v>5</v>
      </c>
      <c r="F65" s="3">
        <v>9924</v>
      </c>
      <c r="G65" s="3">
        <v>49620</v>
      </c>
      <c r="H65" t="s">
        <v>21</v>
      </c>
      <c r="I65" t="s">
        <v>22</v>
      </c>
      <c r="J65" t="s">
        <v>27</v>
      </c>
    </row>
    <row r="66" spans="1:10" x14ac:dyDescent="0.3">
      <c r="A66">
        <v>1065</v>
      </c>
      <c r="B66" s="2">
        <v>45723</v>
      </c>
      <c r="C66" t="s">
        <v>33</v>
      </c>
      <c r="D66" t="s">
        <v>31</v>
      </c>
      <c r="E66">
        <v>5</v>
      </c>
      <c r="F66" s="3">
        <v>511</v>
      </c>
      <c r="G66" s="3">
        <v>2555</v>
      </c>
      <c r="H66" t="s">
        <v>25</v>
      </c>
      <c r="I66" t="s">
        <v>35</v>
      </c>
      <c r="J66" t="s">
        <v>36</v>
      </c>
    </row>
    <row r="67" spans="1:10" x14ac:dyDescent="0.3">
      <c r="A67">
        <v>1066</v>
      </c>
      <c r="B67" s="2">
        <v>45724</v>
      </c>
      <c r="C67" t="s">
        <v>34</v>
      </c>
      <c r="D67" t="s">
        <v>20</v>
      </c>
      <c r="E67">
        <v>1</v>
      </c>
      <c r="F67" s="3">
        <v>29247</v>
      </c>
      <c r="G67" s="3">
        <v>29247</v>
      </c>
      <c r="H67" t="s">
        <v>25</v>
      </c>
      <c r="I67" t="s">
        <v>26</v>
      </c>
      <c r="J67" t="s">
        <v>36</v>
      </c>
    </row>
    <row r="68" spans="1:10" x14ac:dyDescent="0.3">
      <c r="A68">
        <v>1067</v>
      </c>
      <c r="B68" s="2">
        <v>45725</v>
      </c>
      <c r="C68" t="s">
        <v>37</v>
      </c>
      <c r="D68" t="s">
        <v>38</v>
      </c>
      <c r="E68">
        <v>4</v>
      </c>
      <c r="F68" s="3">
        <v>699</v>
      </c>
      <c r="G68" s="3">
        <v>2796</v>
      </c>
      <c r="H68" t="s">
        <v>32</v>
      </c>
      <c r="I68" t="s">
        <v>22</v>
      </c>
      <c r="J68" t="s">
        <v>27</v>
      </c>
    </row>
    <row r="69" spans="1:10" x14ac:dyDescent="0.3">
      <c r="A69">
        <v>1068</v>
      </c>
      <c r="B69" s="2">
        <v>45726</v>
      </c>
      <c r="C69" t="s">
        <v>40</v>
      </c>
      <c r="D69" t="s">
        <v>29</v>
      </c>
      <c r="E69">
        <v>5</v>
      </c>
      <c r="F69" s="3">
        <v>566</v>
      </c>
      <c r="G69" s="3">
        <v>2830</v>
      </c>
      <c r="H69" t="s">
        <v>39</v>
      </c>
      <c r="I69" t="s">
        <v>35</v>
      </c>
      <c r="J69" t="s">
        <v>36</v>
      </c>
    </row>
    <row r="70" spans="1:10" x14ac:dyDescent="0.3">
      <c r="A70">
        <v>1069</v>
      </c>
      <c r="B70" s="2">
        <v>45727</v>
      </c>
      <c r="C70" t="s">
        <v>42</v>
      </c>
      <c r="D70" t="s">
        <v>20</v>
      </c>
      <c r="E70">
        <v>1</v>
      </c>
      <c r="F70" s="3">
        <v>5629</v>
      </c>
      <c r="G70" s="3">
        <v>5629</v>
      </c>
      <c r="H70" t="s">
        <v>41</v>
      </c>
      <c r="I70" t="s">
        <v>22</v>
      </c>
      <c r="J70" t="s">
        <v>27</v>
      </c>
    </row>
    <row r="71" spans="1:10" x14ac:dyDescent="0.3">
      <c r="A71">
        <v>1070</v>
      </c>
      <c r="B71" s="2">
        <v>45728</v>
      </c>
      <c r="C71" t="s">
        <v>43</v>
      </c>
      <c r="D71" t="s">
        <v>31</v>
      </c>
      <c r="E71">
        <v>3</v>
      </c>
      <c r="F71" s="3">
        <v>579</v>
      </c>
      <c r="G71" s="3">
        <v>1737</v>
      </c>
      <c r="H71" t="s">
        <v>25</v>
      </c>
      <c r="I71" t="s">
        <v>35</v>
      </c>
      <c r="J71" t="s">
        <v>23</v>
      </c>
    </row>
    <row r="72" spans="1:10" x14ac:dyDescent="0.3">
      <c r="A72">
        <v>1071</v>
      </c>
      <c r="B72" s="2">
        <v>45729</v>
      </c>
      <c r="C72" t="s">
        <v>19</v>
      </c>
      <c r="D72" t="s">
        <v>20</v>
      </c>
      <c r="E72">
        <v>2</v>
      </c>
      <c r="F72" s="3">
        <v>58940</v>
      </c>
      <c r="G72" s="3">
        <v>117880</v>
      </c>
      <c r="H72" t="s">
        <v>32</v>
      </c>
      <c r="I72" t="s">
        <v>26</v>
      </c>
      <c r="J72" t="s">
        <v>23</v>
      </c>
    </row>
    <row r="73" spans="1:10" x14ac:dyDescent="0.3">
      <c r="A73">
        <v>1072</v>
      </c>
      <c r="B73" s="2">
        <v>45730</v>
      </c>
      <c r="C73" t="s">
        <v>24</v>
      </c>
      <c r="D73" t="s">
        <v>20</v>
      </c>
      <c r="E73">
        <v>1</v>
      </c>
      <c r="F73" s="3">
        <v>3615</v>
      </c>
      <c r="G73" s="3">
        <v>3615</v>
      </c>
      <c r="H73" t="s">
        <v>32</v>
      </c>
      <c r="I73" t="s">
        <v>26</v>
      </c>
      <c r="J73" t="s">
        <v>27</v>
      </c>
    </row>
    <row r="74" spans="1:10" x14ac:dyDescent="0.3">
      <c r="A74">
        <v>1073</v>
      </c>
      <c r="B74" s="2">
        <v>45731</v>
      </c>
      <c r="C74" t="s">
        <v>28</v>
      </c>
      <c r="D74" t="s">
        <v>29</v>
      </c>
      <c r="E74">
        <v>3</v>
      </c>
      <c r="F74" s="3">
        <v>3472</v>
      </c>
      <c r="G74" s="3">
        <v>10416</v>
      </c>
      <c r="H74" t="s">
        <v>25</v>
      </c>
      <c r="I74" t="s">
        <v>22</v>
      </c>
      <c r="J74" t="s">
        <v>36</v>
      </c>
    </row>
    <row r="75" spans="1:10" x14ac:dyDescent="0.3">
      <c r="A75">
        <v>1074</v>
      </c>
      <c r="B75" s="2">
        <v>45732</v>
      </c>
      <c r="C75" t="s">
        <v>30</v>
      </c>
      <c r="D75" t="s">
        <v>31</v>
      </c>
      <c r="E75">
        <v>1</v>
      </c>
      <c r="F75" s="3">
        <v>2976</v>
      </c>
      <c r="G75" s="3">
        <v>2976</v>
      </c>
      <c r="H75" t="s">
        <v>25</v>
      </c>
      <c r="I75" t="s">
        <v>35</v>
      </c>
      <c r="J75" t="s">
        <v>23</v>
      </c>
    </row>
    <row r="76" spans="1:10" x14ac:dyDescent="0.3">
      <c r="A76">
        <v>1075</v>
      </c>
      <c r="B76" s="2">
        <v>45733</v>
      </c>
      <c r="C76" t="s">
        <v>33</v>
      </c>
      <c r="D76" t="s">
        <v>31</v>
      </c>
      <c r="E76">
        <v>3</v>
      </c>
      <c r="F76" s="3">
        <v>359</v>
      </c>
      <c r="G76" s="3">
        <v>1077</v>
      </c>
      <c r="H76" t="s">
        <v>41</v>
      </c>
      <c r="I76" t="s">
        <v>22</v>
      </c>
      <c r="J76" t="s">
        <v>23</v>
      </c>
    </row>
    <row r="77" spans="1:10" x14ac:dyDescent="0.3">
      <c r="A77">
        <v>1076</v>
      </c>
      <c r="B77" s="2">
        <v>45734</v>
      </c>
      <c r="C77" t="s">
        <v>34</v>
      </c>
      <c r="D77" t="s">
        <v>20</v>
      </c>
      <c r="E77">
        <v>1</v>
      </c>
      <c r="F77" s="3">
        <v>20775</v>
      </c>
      <c r="G77" s="3">
        <v>20775</v>
      </c>
      <c r="H77" t="s">
        <v>41</v>
      </c>
      <c r="I77" t="s">
        <v>26</v>
      </c>
      <c r="J77" t="s">
        <v>36</v>
      </c>
    </row>
    <row r="78" spans="1:10" x14ac:dyDescent="0.3">
      <c r="A78">
        <v>1077</v>
      </c>
      <c r="B78" s="2">
        <v>45735</v>
      </c>
      <c r="C78" t="s">
        <v>37</v>
      </c>
      <c r="D78" t="s">
        <v>38</v>
      </c>
      <c r="E78">
        <v>4</v>
      </c>
      <c r="F78" s="3">
        <v>920</v>
      </c>
      <c r="G78" s="3">
        <v>3680</v>
      </c>
      <c r="H78" t="s">
        <v>25</v>
      </c>
      <c r="I78" t="s">
        <v>26</v>
      </c>
      <c r="J78" t="s">
        <v>23</v>
      </c>
    </row>
    <row r="79" spans="1:10" x14ac:dyDescent="0.3">
      <c r="A79">
        <v>1078</v>
      </c>
      <c r="B79" s="2">
        <v>45736</v>
      </c>
      <c r="C79" t="s">
        <v>40</v>
      </c>
      <c r="D79" t="s">
        <v>29</v>
      </c>
      <c r="E79">
        <v>2</v>
      </c>
      <c r="F79" s="3">
        <v>907</v>
      </c>
      <c r="G79" s="3">
        <v>1814</v>
      </c>
      <c r="H79" t="s">
        <v>32</v>
      </c>
      <c r="I79" t="s">
        <v>22</v>
      </c>
      <c r="J79" t="s">
        <v>27</v>
      </c>
    </row>
    <row r="80" spans="1:10" x14ac:dyDescent="0.3">
      <c r="A80">
        <v>1079</v>
      </c>
      <c r="B80" s="2">
        <v>45737</v>
      </c>
      <c r="C80" t="s">
        <v>42</v>
      </c>
      <c r="D80" t="s">
        <v>20</v>
      </c>
      <c r="E80">
        <v>1</v>
      </c>
      <c r="F80" s="3">
        <v>13388</v>
      </c>
      <c r="G80" s="3">
        <v>13388</v>
      </c>
      <c r="H80" t="s">
        <v>32</v>
      </c>
      <c r="I80" t="s">
        <v>35</v>
      </c>
      <c r="J80" t="s">
        <v>36</v>
      </c>
    </row>
    <row r="81" spans="1:10" x14ac:dyDescent="0.3">
      <c r="A81">
        <v>1080</v>
      </c>
      <c r="B81" s="2">
        <v>45738</v>
      </c>
      <c r="C81" t="s">
        <v>43</v>
      </c>
      <c r="D81" t="s">
        <v>31</v>
      </c>
      <c r="E81">
        <v>2</v>
      </c>
      <c r="F81" s="3">
        <v>372</v>
      </c>
      <c r="G81" s="3">
        <v>744</v>
      </c>
      <c r="H81" t="s">
        <v>39</v>
      </c>
      <c r="I81" t="s">
        <v>26</v>
      </c>
      <c r="J81" t="s">
        <v>27</v>
      </c>
    </row>
    <row r="82" spans="1:10" x14ac:dyDescent="0.3">
      <c r="A82">
        <v>1081</v>
      </c>
      <c r="B82" s="2">
        <v>45739</v>
      </c>
      <c r="C82" t="s">
        <v>19</v>
      </c>
      <c r="D82" t="s">
        <v>20</v>
      </c>
      <c r="E82">
        <v>1</v>
      </c>
      <c r="F82" s="3">
        <v>44531</v>
      </c>
      <c r="G82" s="3">
        <v>44531</v>
      </c>
      <c r="H82" t="s">
        <v>25</v>
      </c>
      <c r="I82" t="s">
        <v>22</v>
      </c>
      <c r="J82" t="s">
        <v>36</v>
      </c>
    </row>
    <row r="83" spans="1:10" x14ac:dyDescent="0.3">
      <c r="A83">
        <v>1082</v>
      </c>
      <c r="B83" s="2">
        <v>45740</v>
      </c>
      <c r="C83" t="s">
        <v>24</v>
      </c>
      <c r="D83" t="s">
        <v>20</v>
      </c>
      <c r="E83">
        <v>2</v>
      </c>
      <c r="F83" s="3">
        <v>1963</v>
      </c>
      <c r="G83" s="3">
        <v>3926</v>
      </c>
      <c r="H83" t="s">
        <v>39</v>
      </c>
      <c r="I83" t="s">
        <v>22</v>
      </c>
      <c r="J83" t="s">
        <v>23</v>
      </c>
    </row>
    <row r="84" spans="1:10" x14ac:dyDescent="0.3">
      <c r="A84">
        <v>1083</v>
      </c>
      <c r="B84" s="2">
        <v>45741</v>
      </c>
      <c r="C84" t="s">
        <v>28</v>
      </c>
      <c r="D84" t="s">
        <v>29</v>
      </c>
      <c r="E84">
        <v>1</v>
      </c>
      <c r="F84" s="3">
        <v>2483</v>
      </c>
      <c r="G84" s="3">
        <v>2483</v>
      </c>
      <c r="H84" t="s">
        <v>32</v>
      </c>
      <c r="I84" t="s">
        <v>26</v>
      </c>
      <c r="J84" t="s">
        <v>23</v>
      </c>
    </row>
    <row r="85" spans="1:10" x14ac:dyDescent="0.3">
      <c r="A85">
        <v>1084</v>
      </c>
      <c r="B85" s="2">
        <v>45742</v>
      </c>
      <c r="C85" t="s">
        <v>30</v>
      </c>
      <c r="D85" t="s">
        <v>31</v>
      </c>
      <c r="E85">
        <v>5</v>
      </c>
      <c r="F85" s="3">
        <v>18677</v>
      </c>
      <c r="G85" s="3">
        <v>93385</v>
      </c>
      <c r="H85" t="s">
        <v>44</v>
      </c>
      <c r="I85" t="s">
        <v>26</v>
      </c>
      <c r="J85" t="s">
        <v>36</v>
      </c>
    </row>
    <row r="86" spans="1:10" x14ac:dyDescent="0.3">
      <c r="A86">
        <v>1085</v>
      </c>
      <c r="B86" s="2">
        <v>45743</v>
      </c>
      <c r="C86" t="s">
        <v>33</v>
      </c>
      <c r="D86" t="s">
        <v>31</v>
      </c>
      <c r="E86">
        <v>1</v>
      </c>
      <c r="F86" s="3">
        <v>583</v>
      </c>
      <c r="G86" s="3">
        <v>583</v>
      </c>
      <c r="H86" t="s">
        <v>32</v>
      </c>
      <c r="I86" t="s">
        <v>26</v>
      </c>
      <c r="J86" t="s">
        <v>23</v>
      </c>
    </row>
    <row r="87" spans="1:10" x14ac:dyDescent="0.3">
      <c r="A87">
        <v>1086</v>
      </c>
      <c r="B87" s="2">
        <v>45744</v>
      </c>
      <c r="C87" t="s">
        <v>34</v>
      </c>
      <c r="D87" t="s">
        <v>20</v>
      </c>
      <c r="E87">
        <v>1</v>
      </c>
      <c r="F87" s="3">
        <v>34775</v>
      </c>
      <c r="G87" s="3">
        <v>34775</v>
      </c>
      <c r="H87" t="s">
        <v>32</v>
      </c>
      <c r="I87" t="s">
        <v>35</v>
      </c>
      <c r="J87" t="s">
        <v>23</v>
      </c>
    </row>
    <row r="88" spans="1:10" x14ac:dyDescent="0.3">
      <c r="A88">
        <v>1087</v>
      </c>
      <c r="B88" s="2">
        <v>45745</v>
      </c>
      <c r="C88" t="s">
        <v>37</v>
      </c>
      <c r="D88" t="s">
        <v>38</v>
      </c>
      <c r="E88">
        <v>3</v>
      </c>
      <c r="F88" s="3">
        <v>635</v>
      </c>
      <c r="G88" s="3">
        <v>1905</v>
      </c>
      <c r="H88" t="s">
        <v>32</v>
      </c>
      <c r="I88" t="s">
        <v>26</v>
      </c>
      <c r="J88" t="s">
        <v>23</v>
      </c>
    </row>
    <row r="89" spans="1:10" x14ac:dyDescent="0.3">
      <c r="A89">
        <v>1088</v>
      </c>
      <c r="B89" s="2">
        <v>45746</v>
      </c>
      <c r="C89" t="s">
        <v>40</v>
      </c>
      <c r="D89" t="s">
        <v>29</v>
      </c>
      <c r="E89">
        <v>5</v>
      </c>
      <c r="F89" s="3">
        <v>527</v>
      </c>
      <c r="G89" s="3">
        <v>2635</v>
      </c>
      <c r="H89" t="s">
        <v>32</v>
      </c>
      <c r="I89" t="s">
        <v>35</v>
      </c>
      <c r="J89" t="s">
        <v>36</v>
      </c>
    </row>
    <row r="90" spans="1:10" x14ac:dyDescent="0.3">
      <c r="A90">
        <v>1089</v>
      </c>
      <c r="B90" s="2">
        <v>45747</v>
      </c>
      <c r="C90" t="s">
        <v>42</v>
      </c>
      <c r="D90" t="s">
        <v>20</v>
      </c>
      <c r="E90">
        <v>2</v>
      </c>
      <c r="F90" s="3">
        <v>3327</v>
      </c>
      <c r="G90" s="3">
        <v>6654</v>
      </c>
      <c r="H90" t="s">
        <v>44</v>
      </c>
      <c r="I90" t="s">
        <v>35</v>
      </c>
      <c r="J90" t="s">
        <v>36</v>
      </c>
    </row>
    <row r="91" spans="1:10" x14ac:dyDescent="0.3">
      <c r="A91">
        <v>1090</v>
      </c>
      <c r="B91" s="2">
        <v>45748</v>
      </c>
      <c r="C91" t="s">
        <v>43</v>
      </c>
      <c r="D91" t="s">
        <v>31</v>
      </c>
      <c r="E91">
        <v>1</v>
      </c>
      <c r="F91" s="3">
        <v>383</v>
      </c>
      <c r="G91" s="3">
        <v>383</v>
      </c>
      <c r="H91" t="s">
        <v>39</v>
      </c>
      <c r="I91" t="s">
        <v>26</v>
      </c>
      <c r="J91" t="s">
        <v>27</v>
      </c>
    </row>
    <row r="92" spans="1:10" x14ac:dyDescent="0.3">
      <c r="A92">
        <v>1091</v>
      </c>
      <c r="B92" s="2">
        <v>45749</v>
      </c>
      <c r="C92" t="s">
        <v>19</v>
      </c>
      <c r="D92" t="s">
        <v>20</v>
      </c>
      <c r="E92">
        <v>1</v>
      </c>
      <c r="F92" s="3">
        <v>61156</v>
      </c>
      <c r="G92" s="3">
        <v>61156</v>
      </c>
      <c r="H92" t="s">
        <v>21</v>
      </c>
      <c r="I92" t="s">
        <v>22</v>
      </c>
      <c r="J92" t="s">
        <v>27</v>
      </c>
    </row>
    <row r="93" spans="1:10" x14ac:dyDescent="0.3">
      <c r="A93">
        <v>1092</v>
      </c>
      <c r="B93" s="2">
        <v>45750</v>
      </c>
      <c r="C93" t="s">
        <v>24</v>
      </c>
      <c r="D93" t="s">
        <v>20</v>
      </c>
      <c r="E93">
        <v>1</v>
      </c>
      <c r="F93" s="3">
        <v>3607</v>
      </c>
      <c r="G93" s="3">
        <v>3607</v>
      </c>
      <c r="H93" t="s">
        <v>25</v>
      </c>
      <c r="I93" t="s">
        <v>35</v>
      </c>
      <c r="J93" t="s">
        <v>36</v>
      </c>
    </row>
    <row r="94" spans="1:10" x14ac:dyDescent="0.3">
      <c r="A94">
        <v>1093</v>
      </c>
      <c r="B94" s="2">
        <v>45751</v>
      </c>
      <c r="C94" t="s">
        <v>28</v>
      </c>
      <c r="D94" t="s">
        <v>29</v>
      </c>
      <c r="E94">
        <v>3</v>
      </c>
      <c r="F94" s="3">
        <v>3055</v>
      </c>
      <c r="G94" s="3">
        <v>9165</v>
      </c>
      <c r="H94" t="s">
        <v>32</v>
      </c>
      <c r="I94" t="s">
        <v>22</v>
      </c>
      <c r="J94" t="s">
        <v>36</v>
      </c>
    </row>
    <row r="95" spans="1:10" x14ac:dyDescent="0.3">
      <c r="A95">
        <v>1094</v>
      </c>
      <c r="B95" s="2">
        <v>45752</v>
      </c>
      <c r="C95" t="s">
        <v>30</v>
      </c>
      <c r="D95" t="s">
        <v>31</v>
      </c>
      <c r="E95">
        <v>4</v>
      </c>
      <c r="F95" s="3">
        <v>18106</v>
      </c>
      <c r="G95" s="3">
        <v>72424</v>
      </c>
      <c r="H95" t="s">
        <v>32</v>
      </c>
      <c r="I95" t="s">
        <v>26</v>
      </c>
      <c r="J95" t="s">
        <v>36</v>
      </c>
    </row>
    <row r="96" spans="1:10" x14ac:dyDescent="0.3">
      <c r="A96">
        <v>1095</v>
      </c>
      <c r="B96" s="2">
        <v>45753</v>
      </c>
      <c r="C96" t="s">
        <v>33</v>
      </c>
      <c r="D96" t="s">
        <v>31</v>
      </c>
      <c r="E96">
        <v>5</v>
      </c>
      <c r="F96" s="3">
        <v>103</v>
      </c>
      <c r="G96" s="3">
        <v>515</v>
      </c>
      <c r="H96" t="s">
        <v>25</v>
      </c>
      <c r="I96" t="s">
        <v>22</v>
      </c>
      <c r="J96" t="s">
        <v>27</v>
      </c>
    </row>
    <row r="97" spans="1:10" x14ac:dyDescent="0.3">
      <c r="A97">
        <v>1096</v>
      </c>
      <c r="B97" s="2">
        <v>45754</v>
      </c>
      <c r="C97" t="s">
        <v>34</v>
      </c>
      <c r="D97" t="s">
        <v>20</v>
      </c>
      <c r="E97">
        <v>1</v>
      </c>
      <c r="F97" s="3">
        <v>13217</v>
      </c>
      <c r="G97" s="3">
        <v>13217</v>
      </c>
      <c r="H97" t="s">
        <v>32</v>
      </c>
      <c r="I97" t="s">
        <v>35</v>
      </c>
      <c r="J97" t="s">
        <v>23</v>
      </c>
    </row>
    <row r="98" spans="1:10" x14ac:dyDescent="0.3">
      <c r="A98">
        <v>1097</v>
      </c>
      <c r="B98" s="2">
        <v>45755</v>
      </c>
      <c r="C98" t="s">
        <v>37</v>
      </c>
      <c r="D98" t="s">
        <v>38</v>
      </c>
      <c r="E98">
        <v>2</v>
      </c>
      <c r="F98" s="3">
        <v>511</v>
      </c>
      <c r="G98" s="3">
        <v>1022</v>
      </c>
      <c r="H98" t="s">
        <v>39</v>
      </c>
      <c r="I98" t="s">
        <v>22</v>
      </c>
      <c r="J98" t="s">
        <v>36</v>
      </c>
    </row>
    <row r="99" spans="1:10" x14ac:dyDescent="0.3">
      <c r="A99">
        <v>1098</v>
      </c>
      <c r="B99" s="2">
        <v>45756</v>
      </c>
      <c r="C99" t="s">
        <v>40</v>
      </c>
      <c r="D99" t="s">
        <v>29</v>
      </c>
      <c r="E99">
        <v>2</v>
      </c>
      <c r="F99" s="3">
        <v>513</v>
      </c>
      <c r="G99" s="3">
        <v>1026</v>
      </c>
      <c r="H99" t="s">
        <v>44</v>
      </c>
      <c r="I99" t="s">
        <v>22</v>
      </c>
      <c r="J99" t="s">
        <v>27</v>
      </c>
    </row>
    <row r="100" spans="1:10" x14ac:dyDescent="0.3">
      <c r="A100">
        <v>1099</v>
      </c>
      <c r="B100" s="2">
        <v>45757</v>
      </c>
      <c r="C100" t="s">
        <v>42</v>
      </c>
      <c r="D100" t="s">
        <v>20</v>
      </c>
      <c r="E100">
        <v>2</v>
      </c>
      <c r="F100" s="3">
        <v>6283</v>
      </c>
      <c r="G100" s="3">
        <v>12566</v>
      </c>
      <c r="H100" t="s">
        <v>21</v>
      </c>
      <c r="I100" t="s">
        <v>22</v>
      </c>
      <c r="J100" t="s">
        <v>27</v>
      </c>
    </row>
    <row r="101" spans="1:10" x14ac:dyDescent="0.3">
      <c r="A101">
        <v>1100</v>
      </c>
      <c r="B101" s="2">
        <v>45758</v>
      </c>
      <c r="C101" t="s">
        <v>43</v>
      </c>
      <c r="D101" t="s">
        <v>31</v>
      </c>
      <c r="E101">
        <v>4</v>
      </c>
      <c r="F101" s="3">
        <v>552</v>
      </c>
      <c r="G101" s="3">
        <v>2208</v>
      </c>
      <c r="H101" t="s">
        <v>25</v>
      </c>
      <c r="I101" t="s">
        <v>22</v>
      </c>
      <c r="J101" t="s">
        <v>36</v>
      </c>
    </row>
    <row r="102" spans="1:10" x14ac:dyDescent="0.3">
      <c r="A102">
        <v>1101</v>
      </c>
      <c r="B102" s="2">
        <v>45759</v>
      </c>
      <c r="C102" t="s">
        <v>19</v>
      </c>
      <c r="D102" t="s">
        <v>20</v>
      </c>
      <c r="E102">
        <v>1</v>
      </c>
      <c r="F102" s="3">
        <v>56441</v>
      </c>
      <c r="G102" s="3">
        <v>56441</v>
      </c>
      <c r="H102" t="s">
        <v>21</v>
      </c>
      <c r="I102" t="s">
        <v>35</v>
      </c>
      <c r="J102" t="s">
        <v>23</v>
      </c>
    </row>
    <row r="103" spans="1:10" x14ac:dyDescent="0.3">
      <c r="A103">
        <v>1102</v>
      </c>
      <c r="B103" s="2">
        <v>45760</v>
      </c>
      <c r="C103" t="s">
        <v>24</v>
      </c>
      <c r="D103" t="s">
        <v>20</v>
      </c>
      <c r="E103">
        <v>2</v>
      </c>
      <c r="F103" s="3">
        <v>4833</v>
      </c>
      <c r="G103" s="3">
        <v>9666</v>
      </c>
      <c r="H103" t="s">
        <v>39</v>
      </c>
      <c r="I103" t="s">
        <v>22</v>
      </c>
      <c r="J103" t="s">
        <v>27</v>
      </c>
    </row>
    <row r="104" spans="1:10" x14ac:dyDescent="0.3">
      <c r="A104">
        <v>1103</v>
      </c>
      <c r="B104" s="2">
        <v>45761</v>
      </c>
      <c r="C104" t="s">
        <v>28</v>
      </c>
      <c r="D104" t="s">
        <v>29</v>
      </c>
      <c r="E104">
        <v>1</v>
      </c>
      <c r="F104" s="3">
        <v>1314</v>
      </c>
      <c r="G104" s="3">
        <v>1314</v>
      </c>
      <c r="H104" t="s">
        <v>39</v>
      </c>
      <c r="I104" t="s">
        <v>22</v>
      </c>
      <c r="J104" t="s">
        <v>23</v>
      </c>
    </row>
    <row r="105" spans="1:10" x14ac:dyDescent="0.3">
      <c r="A105">
        <v>1104</v>
      </c>
      <c r="B105" s="2">
        <v>45762</v>
      </c>
      <c r="C105" t="s">
        <v>30</v>
      </c>
      <c r="D105" t="s">
        <v>31</v>
      </c>
      <c r="E105">
        <v>1</v>
      </c>
      <c r="F105" s="3">
        <v>5201</v>
      </c>
      <c r="G105" s="3">
        <v>5201</v>
      </c>
      <c r="H105" t="s">
        <v>21</v>
      </c>
      <c r="I105" t="s">
        <v>26</v>
      </c>
      <c r="J105" t="s">
        <v>36</v>
      </c>
    </row>
    <row r="106" spans="1:10" x14ac:dyDescent="0.3">
      <c r="A106">
        <v>1105</v>
      </c>
      <c r="B106" s="2">
        <v>45763</v>
      </c>
      <c r="C106" t="s">
        <v>33</v>
      </c>
      <c r="D106" t="s">
        <v>31</v>
      </c>
      <c r="E106">
        <v>2</v>
      </c>
      <c r="F106" s="3">
        <v>469</v>
      </c>
      <c r="G106" s="3">
        <v>938</v>
      </c>
      <c r="H106" t="s">
        <v>21</v>
      </c>
      <c r="I106" t="s">
        <v>26</v>
      </c>
      <c r="J106" t="s">
        <v>23</v>
      </c>
    </row>
    <row r="107" spans="1:10" x14ac:dyDescent="0.3">
      <c r="A107">
        <v>1106</v>
      </c>
      <c r="B107" s="2">
        <v>45764</v>
      </c>
      <c r="C107" t="s">
        <v>34</v>
      </c>
      <c r="D107" t="s">
        <v>20</v>
      </c>
      <c r="E107">
        <v>2</v>
      </c>
      <c r="F107" s="3">
        <v>24448</v>
      </c>
      <c r="G107" s="3">
        <v>48896</v>
      </c>
      <c r="H107" t="s">
        <v>32</v>
      </c>
      <c r="I107" t="s">
        <v>26</v>
      </c>
      <c r="J107" t="s">
        <v>27</v>
      </c>
    </row>
    <row r="108" spans="1:10" x14ac:dyDescent="0.3">
      <c r="A108">
        <v>1107</v>
      </c>
      <c r="B108" s="2">
        <v>45765</v>
      </c>
      <c r="C108" t="s">
        <v>37</v>
      </c>
      <c r="D108" t="s">
        <v>38</v>
      </c>
      <c r="E108">
        <v>3</v>
      </c>
      <c r="F108" s="3">
        <v>378</v>
      </c>
      <c r="G108" s="3">
        <v>1134</v>
      </c>
      <c r="H108" t="s">
        <v>44</v>
      </c>
      <c r="I108" t="s">
        <v>26</v>
      </c>
      <c r="J108" t="s">
        <v>27</v>
      </c>
    </row>
    <row r="109" spans="1:10" x14ac:dyDescent="0.3">
      <c r="A109">
        <v>1108</v>
      </c>
      <c r="B109" s="2">
        <v>45766</v>
      </c>
      <c r="C109" t="s">
        <v>40</v>
      </c>
      <c r="D109" t="s">
        <v>29</v>
      </c>
      <c r="E109">
        <v>1</v>
      </c>
      <c r="F109" s="3">
        <v>1310</v>
      </c>
      <c r="G109" s="3">
        <v>1310</v>
      </c>
      <c r="H109" t="s">
        <v>44</v>
      </c>
      <c r="I109" t="s">
        <v>26</v>
      </c>
      <c r="J109" t="s">
        <v>27</v>
      </c>
    </row>
    <row r="110" spans="1:10" x14ac:dyDescent="0.3">
      <c r="A110">
        <v>1109</v>
      </c>
      <c r="B110" s="2">
        <v>45767</v>
      </c>
      <c r="C110" t="s">
        <v>42</v>
      </c>
      <c r="D110" t="s">
        <v>20</v>
      </c>
      <c r="E110">
        <v>1</v>
      </c>
      <c r="F110" s="3">
        <v>5590</v>
      </c>
      <c r="G110" s="3">
        <v>5590</v>
      </c>
      <c r="H110" t="s">
        <v>44</v>
      </c>
      <c r="I110" t="s">
        <v>35</v>
      </c>
      <c r="J110" t="s">
        <v>36</v>
      </c>
    </row>
    <row r="111" spans="1:10" x14ac:dyDescent="0.3">
      <c r="A111">
        <v>1110</v>
      </c>
      <c r="B111" s="2">
        <v>45768</v>
      </c>
      <c r="C111" t="s">
        <v>43</v>
      </c>
      <c r="D111" t="s">
        <v>31</v>
      </c>
      <c r="E111">
        <v>3</v>
      </c>
      <c r="F111" s="3">
        <v>405</v>
      </c>
      <c r="G111" s="3">
        <v>1215</v>
      </c>
      <c r="H111" t="s">
        <v>25</v>
      </c>
      <c r="I111" t="s">
        <v>22</v>
      </c>
      <c r="J111" t="s">
        <v>36</v>
      </c>
    </row>
    <row r="112" spans="1:10" x14ac:dyDescent="0.3">
      <c r="A112">
        <v>1111</v>
      </c>
      <c r="B112" s="2">
        <v>45769</v>
      </c>
      <c r="C112" t="s">
        <v>19</v>
      </c>
      <c r="D112" t="s">
        <v>20</v>
      </c>
      <c r="E112">
        <v>1</v>
      </c>
      <c r="F112" s="3">
        <v>51984</v>
      </c>
      <c r="G112" s="3">
        <v>51984</v>
      </c>
      <c r="H112" t="s">
        <v>41</v>
      </c>
      <c r="I112" t="s">
        <v>22</v>
      </c>
      <c r="J112" t="s">
        <v>36</v>
      </c>
    </row>
    <row r="113" spans="1:10" x14ac:dyDescent="0.3">
      <c r="A113">
        <v>1112</v>
      </c>
      <c r="B113" s="2">
        <v>45770</v>
      </c>
      <c r="C113" t="s">
        <v>24</v>
      </c>
      <c r="D113" t="s">
        <v>20</v>
      </c>
      <c r="E113">
        <v>3</v>
      </c>
      <c r="F113" s="3">
        <v>2766</v>
      </c>
      <c r="G113" s="3">
        <v>8298</v>
      </c>
      <c r="H113" t="s">
        <v>21</v>
      </c>
      <c r="I113" t="s">
        <v>35</v>
      </c>
      <c r="J113" t="s">
        <v>36</v>
      </c>
    </row>
    <row r="114" spans="1:10" x14ac:dyDescent="0.3">
      <c r="A114">
        <v>1113</v>
      </c>
      <c r="B114" s="2">
        <v>45771</v>
      </c>
      <c r="C114" t="s">
        <v>28</v>
      </c>
      <c r="D114" t="s">
        <v>29</v>
      </c>
      <c r="E114">
        <v>3</v>
      </c>
      <c r="F114" s="3">
        <v>2625</v>
      </c>
      <c r="G114" s="3">
        <v>7875</v>
      </c>
      <c r="H114" t="s">
        <v>44</v>
      </c>
      <c r="I114" t="s">
        <v>22</v>
      </c>
      <c r="J114" t="s">
        <v>27</v>
      </c>
    </row>
    <row r="115" spans="1:10" x14ac:dyDescent="0.3">
      <c r="A115">
        <v>1114</v>
      </c>
      <c r="B115" s="2">
        <v>45772</v>
      </c>
      <c r="C115" t="s">
        <v>30</v>
      </c>
      <c r="D115" t="s">
        <v>31</v>
      </c>
      <c r="E115">
        <v>2</v>
      </c>
      <c r="F115" s="3">
        <v>2573</v>
      </c>
      <c r="G115" s="3">
        <v>5146</v>
      </c>
      <c r="H115" t="s">
        <v>32</v>
      </c>
      <c r="I115" t="s">
        <v>35</v>
      </c>
      <c r="J115" t="s">
        <v>27</v>
      </c>
    </row>
    <row r="116" spans="1:10" x14ac:dyDescent="0.3">
      <c r="A116">
        <v>1115</v>
      </c>
      <c r="B116" s="2">
        <v>45773</v>
      </c>
      <c r="C116" t="s">
        <v>33</v>
      </c>
      <c r="D116" t="s">
        <v>31</v>
      </c>
      <c r="E116">
        <v>2</v>
      </c>
      <c r="F116" s="3">
        <v>798</v>
      </c>
      <c r="G116" s="3">
        <v>1596</v>
      </c>
      <c r="H116" t="s">
        <v>25</v>
      </c>
      <c r="I116" t="s">
        <v>22</v>
      </c>
      <c r="J116" t="s">
        <v>36</v>
      </c>
    </row>
    <row r="117" spans="1:10" x14ac:dyDescent="0.3">
      <c r="A117">
        <v>1116</v>
      </c>
      <c r="B117" s="2">
        <v>45774</v>
      </c>
      <c r="C117" t="s">
        <v>34</v>
      </c>
      <c r="D117" t="s">
        <v>20</v>
      </c>
      <c r="E117">
        <v>2</v>
      </c>
      <c r="F117" s="3">
        <v>31517</v>
      </c>
      <c r="G117" s="3">
        <v>63034</v>
      </c>
      <c r="H117" t="s">
        <v>44</v>
      </c>
      <c r="I117" t="s">
        <v>22</v>
      </c>
      <c r="J117" t="s">
        <v>23</v>
      </c>
    </row>
    <row r="118" spans="1:10" x14ac:dyDescent="0.3">
      <c r="A118">
        <v>1117</v>
      </c>
      <c r="B118" s="2">
        <v>45775</v>
      </c>
      <c r="C118" t="s">
        <v>37</v>
      </c>
      <c r="D118" t="s">
        <v>38</v>
      </c>
      <c r="E118">
        <v>1</v>
      </c>
      <c r="F118" s="3">
        <v>343</v>
      </c>
      <c r="G118" s="3">
        <v>343</v>
      </c>
      <c r="H118" t="s">
        <v>21</v>
      </c>
      <c r="I118" t="s">
        <v>35</v>
      </c>
      <c r="J118" t="s">
        <v>27</v>
      </c>
    </row>
    <row r="119" spans="1:10" x14ac:dyDescent="0.3">
      <c r="A119">
        <v>1118</v>
      </c>
      <c r="B119" s="2">
        <v>45776</v>
      </c>
      <c r="C119" t="s">
        <v>40</v>
      </c>
      <c r="D119" t="s">
        <v>29</v>
      </c>
      <c r="E119">
        <v>3</v>
      </c>
      <c r="F119" s="3">
        <v>1021</v>
      </c>
      <c r="G119" s="3">
        <v>3063</v>
      </c>
      <c r="H119" t="s">
        <v>21</v>
      </c>
      <c r="I119" t="s">
        <v>35</v>
      </c>
      <c r="J119" t="s">
        <v>36</v>
      </c>
    </row>
    <row r="120" spans="1:10" x14ac:dyDescent="0.3">
      <c r="A120">
        <v>1119</v>
      </c>
      <c r="B120" s="2">
        <v>45777</v>
      </c>
      <c r="C120" t="s">
        <v>42</v>
      </c>
      <c r="D120" t="s">
        <v>20</v>
      </c>
      <c r="E120">
        <v>1</v>
      </c>
      <c r="F120" s="3">
        <v>8543</v>
      </c>
      <c r="G120" s="3">
        <v>8543</v>
      </c>
      <c r="H120" t="s">
        <v>44</v>
      </c>
      <c r="I120" t="s">
        <v>22</v>
      </c>
      <c r="J120" t="s">
        <v>23</v>
      </c>
    </row>
    <row r="121" spans="1:10" x14ac:dyDescent="0.3">
      <c r="A121">
        <v>1120</v>
      </c>
      <c r="B121" s="2">
        <v>45778</v>
      </c>
      <c r="C121" t="s">
        <v>43</v>
      </c>
      <c r="D121" t="s">
        <v>31</v>
      </c>
      <c r="E121">
        <v>2</v>
      </c>
      <c r="F121" s="3">
        <v>235</v>
      </c>
      <c r="G121" s="3">
        <v>470</v>
      </c>
      <c r="H121" t="s">
        <v>25</v>
      </c>
      <c r="I121" t="s">
        <v>35</v>
      </c>
      <c r="J121" t="s">
        <v>23</v>
      </c>
    </row>
    <row r="122" spans="1:10" x14ac:dyDescent="0.3">
      <c r="A122">
        <v>1121</v>
      </c>
      <c r="B122" s="2">
        <v>45779</v>
      </c>
      <c r="C122" t="s">
        <v>19</v>
      </c>
      <c r="D122" t="s">
        <v>20</v>
      </c>
      <c r="E122">
        <v>1</v>
      </c>
      <c r="F122" s="3">
        <v>51840</v>
      </c>
      <c r="G122" s="3">
        <v>51840</v>
      </c>
      <c r="H122" t="s">
        <v>25</v>
      </c>
      <c r="I122" t="s">
        <v>22</v>
      </c>
      <c r="J122" t="s">
        <v>36</v>
      </c>
    </row>
    <row r="123" spans="1:10" x14ac:dyDescent="0.3">
      <c r="A123">
        <v>1122</v>
      </c>
      <c r="B123" s="2">
        <v>45780</v>
      </c>
      <c r="C123" t="s">
        <v>24</v>
      </c>
      <c r="D123" t="s">
        <v>20</v>
      </c>
      <c r="E123">
        <v>2</v>
      </c>
      <c r="F123" s="3">
        <v>4435</v>
      </c>
      <c r="G123" s="3">
        <v>8870</v>
      </c>
      <c r="H123" t="s">
        <v>21</v>
      </c>
      <c r="I123" t="s">
        <v>22</v>
      </c>
      <c r="J123" t="s">
        <v>36</v>
      </c>
    </row>
    <row r="124" spans="1:10" x14ac:dyDescent="0.3">
      <c r="A124">
        <v>1123</v>
      </c>
      <c r="B124" s="2">
        <v>45781</v>
      </c>
      <c r="C124" t="s">
        <v>28</v>
      </c>
      <c r="D124" t="s">
        <v>29</v>
      </c>
      <c r="E124">
        <v>3</v>
      </c>
      <c r="F124" s="3">
        <v>2138</v>
      </c>
      <c r="G124" s="3">
        <v>6414</v>
      </c>
      <c r="H124" t="s">
        <v>21</v>
      </c>
      <c r="I124" t="s">
        <v>22</v>
      </c>
      <c r="J124" t="s">
        <v>23</v>
      </c>
    </row>
    <row r="125" spans="1:10" x14ac:dyDescent="0.3">
      <c r="A125">
        <v>1124</v>
      </c>
      <c r="B125" s="2">
        <v>45782</v>
      </c>
      <c r="C125" t="s">
        <v>30</v>
      </c>
      <c r="D125" t="s">
        <v>31</v>
      </c>
      <c r="E125">
        <v>5</v>
      </c>
      <c r="F125" s="3">
        <v>5434</v>
      </c>
      <c r="G125" s="3">
        <v>27170</v>
      </c>
      <c r="H125" t="s">
        <v>39</v>
      </c>
      <c r="I125" t="s">
        <v>22</v>
      </c>
      <c r="J125" t="s">
        <v>23</v>
      </c>
    </row>
    <row r="126" spans="1:10" x14ac:dyDescent="0.3">
      <c r="A126">
        <v>1125</v>
      </c>
      <c r="B126" s="2">
        <v>45783</v>
      </c>
      <c r="C126" t="s">
        <v>33</v>
      </c>
      <c r="D126" t="s">
        <v>31</v>
      </c>
      <c r="E126">
        <v>1</v>
      </c>
      <c r="F126" s="3">
        <v>961</v>
      </c>
      <c r="G126" s="3">
        <v>961</v>
      </c>
      <c r="H126" t="s">
        <v>21</v>
      </c>
      <c r="I126" t="s">
        <v>22</v>
      </c>
      <c r="J126" t="s">
        <v>27</v>
      </c>
    </row>
    <row r="127" spans="1:10" x14ac:dyDescent="0.3">
      <c r="A127">
        <v>1126</v>
      </c>
      <c r="B127" s="2">
        <v>45784</v>
      </c>
      <c r="C127" t="s">
        <v>34</v>
      </c>
      <c r="D127" t="s">
        <v>20</v>
      </c>
      <c r="E127">
        <v>2</v>
      </c>
      <c r="F127" s="3">
        <v>28891</v>
      </c>
      <c r="G127" s="3">
        <v>57782</v>
      </c>
      <c r="H127" t="s">
        <v>32</v>
      </c>
      <c r="I127" t="s">
        <v>26</v>
      </c>
      <c r="J127" t="s">
        <v>23</v>
      </c>
    </row>
    <row r="128" spans="1:10" x14ac:dyDescent="0.3">
      <c r="A128">
        <v>1127</v>
      </c>
      <c r="B128" s="2">
        <v>45785</v>
      </c>
      <c r="C128" t="s">
        <v>37</v>
      </c>
      <c r="D128" t="s">
        <v>38</v>
      </c>
      <c r="E128">
        <v>3</v>
      </c>
      <c r="F128" s="3">
        <v>433</v>
      </c>
      <c r="G128" s="3">
        <v>1299</v>
      </c>
      <c r="H128" t="s">
        <v>44</v>
      </c>
      <c r="I128" t="s">
        <v>22</v>
      </c>
      <c r="J128" t="s">
        <v>36</v>
      </c>
    </row>
    <row r="129" spans="1:10" x14ac:dyDescent="0.3">
      <c r="A129">
        <v>1128</v>
      </c>
      <c r="B129" s="2">
        <v>45786</v>
      </c>
      <c r="C129" t="s">
        <v>40</v>
      </c>
      <c r="D129" t="s">
        <v>29</v>
      </c>
      <c r="E129">
        <v>2</v>
      </c>
      <c r="F129" s="3">
        <v>912</v>
      </c>
      <c r="G129" s="3">
        <v>1824</v>
      </c>
      <c r="H129" t="s">
        <v>44</v>
      </c>
      <c r="I129" t="s">
        <v>22</v>
      </c>
      <c r="J129" t="s">
        <v>36</v>
      </c>
    </row>
    <row r="130" spans="1:10" x14ac:dyDescent="0.3">
      <c r="A130">
        <v>1129</v>
      </c>
      <c r="B130" s="2">
        <v>45787</v>
      </c>
      <c r="C130" t="s">
        <v>42</v>
      </c>
      <c r="D130" t="s">
        <v>20</v>
      </c>
      <c r="E130">
        <v>2</v>
      </c>
      <c r="F130" s="3">
        <v>12792</v>
      </c>
      <c r="G130" s="3">
        <v>25584</v>
      </c>
      <c r="H130" t="s">
        <v>21</v>
      </c>
      <c r="I130" t="s">
        <v>26</v>
      </c>
      <c r="J130" t="s">
        <v>23</v>
      </c>
    </row>
    <row r="131" spans="1:10" x14ac:dyDescent="0.3">
      <c r="A131">
        <v>1130</v>
      </c>
      <c r="B131" s="2">
        <v>45788</v>
      </c>
      <c r="C131" t="s">
        <v>43</v>
      </c>
      <c r="D131" t="s">
        <v>31</v>
      </c>
      <c r="E131">
        <v>3</v>
      </c>
      <c r="F131" s="3">
        <v>150</v>
      </c>
      <c r="G131" s="3">
        <v>450</v>
      </c>
      <c r="H131" t="s">
        <v>41</v>
      </c>
      <c r="I131" t="s">
        <v>26</v>
      </c>
      <c r="J131" t="s">
        <v>36</v>
      </c>
    </row>
    <row r="132" spans="1:10" x14ac:dyDescent="0.3">
      <c r="A132">
        <v>1131</v>
      </c>
      <c r="B132" s="2">
        <v>45789</v>
      </c>
      <c r="C132" t="s">
        <v>19</v>
      </c>
      <c r="D132" t="s">
        <v>20</v>
      </c>
      <c r="E132">
        <v>1</v>
      </c>
      <c r="F132" s="3">
        <v>61259</v>
      </c>
      <c r="G132" s="3">
        <v>61259</v>
      </c>
      <c r="H132" t="s">
        <v>39</v>
      </c>
      <c r="I132" t="s">
        <v>26</v>
      </c>
      <c r="J132" t="s">
        <v>23</v>
      </c>
    </row>
    <row r="133" spans="1:10" x14ac:dyDescent="0.3">
      <c r="A133">
        <v>1132</v>
      </c>
      <c r="B133" s="2">
        <v>45790</v>
      </c>
      <c r="C133" t="s">
        <v>24</v>
      </c>
      <c r="D133" t="s">
        <v>20</v>
      </c>
      <c r="E133">
        <v>1</v>
      </c>
      <c r="F133" s="3">
        <v>2998</v>
      </c>
      <c r="G133" s="3">
        <v>2998</v>
      </c>
      <c r="H133" t="s">
        <v>21</v>
      </c>
      <c r="I133" t="s">
        <v>22</v>
      </c>
      <c r="J133" t="s">
        <v>23</v>
      </c>
    </row>
    <row r="134" spans="1:10" x14ac:dyDescent="0.3">
      <c r="A134">
        <v>1133</v>
      </c>
      <c r="B134" s="2">
        <v>45791</v>
      </c>
      <c r="C134" t="s">
        <v>28</v>
      </c>
      <c r="D134" t="s">
        <v>29</v>
      </c>
      <c r="E134">
        <v>3</v>
      </c>
      <c r="F134" s="3">
        <v>1682</v>
      </c>
      <c r="G134" s="3">
        <v>5046</v>
      </c>
      <c r="H134" t="s">
        <v>39</v>
      </c>
      <c r="I134" t="s">
        <v>26</v>
      </c>
      <c r="J134" t="s">
        <v>27</v>
      </c>
    </row>
    <row r="135" spans="1:10" x14ac:dyDescent="0.3">
      <c r="A135">
        <v>1134</v>
      </c>
      <c r="B135" s="2">
        <v>45792</v>
      </c>
      <c r="C135" t="s">
        <v>30</v>
      </c>
      <c r="D135" t="s">
        <v>31</v>
      </c>
      <c r="E135">
        <v>1</v>
      </c>
      <c r="F135" s="3">
        <v>12576</v>
      </c>
      <c r="G135" s="3">
        <v>12576</v>
      </c>
      <c r="H135" t="s">
        <v>21</v>
      </c>
      <c r="I135" t="s">
        <v>22</v>
      </c>
      <c r="J135" t="s">
        <v>27</v>
      </c>
    </row>
    <row r="136" spans="1:10" x14ac:dyDescent="0.3">
      <c r="A136">
        <v>1135</v>
      </c>
      <c r="B136" s="2">
        <v>45793</v>
      </c>
      <c r="C136" t="s">
        <v>33</v>
      </c>
      <c r="D136" t="s">
        <v>31</v>
      </c>
      <c r="E136">
        <v>1</v>
      </c>
      <c r="F136" s="3">
        <v>740</v>
      </c>
      <c r="G136" s="3">
        <v>740</v>
      </c>
      <c r="H136" t="s">
        <v>44</v>
      </c>
      <c r="I136" t="s">
        <v>35</v>
      </c>
      <c r="J136" t="s">
        <v>36</v>
      </c>
    </row>
    <row r="137" spans="1:10" x14ac:dyDescent="0.3">
      <c r="A137">
        <v>1136</v>
      </c>
      <c r="B137" s="2">
        <v>45794</v>
      </c>
      <c r="C137" t="s">
        <v>34</v>
      </c>
      <c r="D137" t="s">
        <v>20</v>
      </c>
      <c r="E137">
        <v>2</v>
      </c>
      <c r="F137" s="3">
        <v>38690</v>
      </c>
      <c r="G137" s="3">
        <v>77380</v>
      </c>
      <c r="H137" t="s">
        <v>39</v>
      </c>
      <c r="I137" t="s">
        <v>26</v>
      </c>
      <c r="J137" t="s">
        <v>27</v>
      </c>
    </row>
    <row r="138" spans="1:10" x14ac:dyDescent="0.3">
      <c r="A138">
        <v>1137</v>
      </c>
      <c r="B138" s="2">
        <v>45795</v>
      </c>
      <c r="C138" t="s">
        <v>37</v>
      </c>
      <c r="D138" t="s">
        <v>38</v>
      </c>
      <c r="E138">
        <v>1</v>
      </c>
      <c r="F138" s="3">
        <v>309</v>
      </c>
      <c r="G138" s="3">
        <v>309</v>
      </c>
      <c r="H138" t="s">
        <v>44</v>
      </c>
      <c r="I138" t="s">
        <v>35</v>
      </c>
      <c r="J138" t="s">
        <v>23</v>
      </c>
    </row>
    <row r="139" spans="1:10" x14ac:dyDescent="0.3">
      <c r="A139">
        <v>1138</v>
      </c>
      <c r="B139" s="2">
        <v>45796</v>
      </c>
      <c r="C139" t="s">
        <v>40</v>
      </c>
      <c r="D139" t="s">
        <v>29</v>
      </c>
      <c r="E139">
        <v>3</v>
      </c>
      <c r="F139" s="3">
        <v>1670</v>
      </c>
      <c r="G139" s="3">
        <v>5010</v>
      </c>
      <c r="H139" t="s">
        <v>39</v>
      </c>
      <c r="I139" t="s">
        <v>35</v>
      </c>
      <c r="J139" t="s">
        <v>27</v>
      </c>
    </row>
    <row r="140" spans="1:10" x14ac:dyDescent="0.3">
      <c r="A140">
        <v>1139</v>
      </c>
      <c r="B140" s="2">
        <v>45797</v>
      </c>
      <c r="C140" t="s">
        <v>42</v>
      </c>
      <c r="D140" t="s">
        <v>20</v>
      </c>
      <c r="E140">
        <v>1</v>
      </c>
      <c r="F140" s="3">
        <v>13908</v>
      </c>
      <c r="G140" s="3">
        <v>13908</v>
      </c>
      <c r="H140" t="s">
        <v>32</v>
      </c>
      <c r="I140" t="s">
        <v>22</v>
      </c>
      <c r="J140" t="s">
        <v>23</v>
      </c>
    </row>
    <row r="141" spans="1:10" x14ac:dyDescent="0.3">
      <c r="A141">
        <v>1140</v>
      </c>
      <c r="B141" s="2">
        <v>45798</v>
      </c>
      <c r="C141" t="s">
        <v>43</v>
      </c>
      <c r="D141" t="s">
        <v>31</v>
      </c>
      <c r="E141">
        <v>1</v>
      </c>
      <c r="F141" s="3">
        <v>619</v>
      </c>
      <c r="G141" s="3">
        <v>619</v>
      </c>
      <c r="H141" t="s">
        <v>32</v>
      </c>
      <c r="I141" t="s">
        <v>26</v>
      </c>
      <c r="J141" t="s">
        <v>36</v>
      </c>
    </row>
    <row r="142" spans="1:10" x14ac:dyDescent="0.3">
      <c r="A142">
        <v>1141</v>
      </c>
      <c r="B142" s="2">
        <v>45799</v>
      </c>
      <c r="C142" t="s">
        <v>19</v>
      </c>
      <c r="D142" t="s">
        <v>20</v>
      </c>
      <c r="E142">
        <v>1</v>
      </c>
      <c r="F142" s="3">
        <v>58661</v>
      </c>
      <c r="G142" s="3">
        <v>58661</v>
      </c>
      <c r="H142" t="s">
        <v>25</v>
      </c>
      <c r="I142" t="s">
        <v>22</v>
      </c>
      <c r="J142" t="s">
        <v>36</v>
      </c>
    </row>
    <row r="143" spans="1:10" x14ac:dyDescent="0.3">
      <c r="A143">
        <v>1142</v>
      </c>
      <c r="B143" s="2">
        <v>45800</v>
      </c>
      <c r="C143" t="s">
        <v>24</v>
      </c>
      <c r="D143" t="s">
        <v>20</v>
      </c>
      <c r="E143">
        <v>3</v>
      </c>
      <c r="F143" s="3">
        <v>3441</v>
      </c>
      <c r="G143" s="3">
        <v>10323</v>
      </c>
      <c r="H143" t="s">
        <v>32</v>
      </c>
      <c r="I143" t="s">
        <v>26</v>
      </c>
      <c r="J143" t="s">
        <v>36</v>
      </c>
    </row>
    <row r="144" spans="1:10" x14ac:dyDescent="0.3">
      <c r="A144">
        <v>1143</v>
      </c>
      <c r="B144" s="2">
        <v>45801</v>
      </c>
      <c r="C144" t="s">
        <v>28</v>
      </c>
      <c r="D144" t="s">
        <v>29</v>
      </c>
      <c r="E144">
        <v>2</v>
      </c>
      <c r="F144" s="3">
        <v>4503</v>
      </c>
      <c r="G144" s="3">
        <v>9006</v>
      </c>
      <c r="H144" t="s">
        <v>25</v>
      </c>
      <c r="I144" t="s">
        <v>26</v>
      </c>
      <c r="J144" t="s">
        <v>23</v>
      </c>
    </row>
    <row r="145" spans="1:10" x14ac:dyDescent="0.3">
      <c r="A145">
        <v>1144</v>
      </c>
      <c r="B145" s="2">
        <v>45802</v>
      </c>
      <c r="C145" t="s">
        <v>30</v>
      </c>
      <c r="D145" t="s">
        <v>31</v>
      </c>
      <c r="E145">
        <v>5</v>
      </c>
      <c r="F145" s="3">
        <v>10835</v>
      </c>
      <c r="G145" s="3">
        <v>54175</v>
      </c>
      <c r="H145" t="s">
        <v>21</v>
      </c>
      <c r="I145" t="s">
        <v>35</v>
      </c>
      <c r="J145" t="s">
        <v>27</v>
      </c>
    </row>
    <row r="146" spans="1:10" x14ac:dyDescent="0.3">
      <c r="A146">
        <v>1145</v>
      </c>
      <c r="B146" s="2">
        <v>45803</v>
      </c>
      <c r="C146" t="s">
        <v>33</v>
      </c>
      <c r="D146" t="s">
        <v>31</v>
      </c>
      <c r="E146">
        <v>2</v>
      </c>
      <c r="F146" s="3">
        <v>334</v>
      </c>
      <c r="G146" s="3">
        <v>668</v>
      </c>
      <c r="H146" t="s">
        <v>32</v>
      </c>
      <c r="I146" t="s">
        <v>35</v>
      </c>
      <c r="J146" t="s">
        <v>27</v>
      </c>
    </row>
    <row r="147" spans="1:10" x14ac:dyDescent="0.3">
      <c r="A147">
        <v>1146</v>
      </c>
      <c r="B147" s="2">
        <v>45804</v>
      </c>
      <c r="C147" t="s">
        <v>34</v>
      </c>
      <c r="D147" t="s">
        <v>20</v>
      </c>
      <c r="E147">
        <v>2</v>
      </c>
      <c r="F147" s="3">
        <v>14992</v>
      </c>
      <c r="G147" s="3">
        <v>29984</v>
      </c>
      <c r="H147" t="s">
        <v>25</v>
      </c>
      <c r="I147" t="s">
        <v>22</v>
      </c>
      <c r="J147" t="s">
        <v>36</v>
      </c>
    </row>
    <row r="148" spans="1:10" x14ac:dyDescent="0.3">
      <c r="A148">
        <v>1147</v>
      </c>
      <c r="B148" s="2">
        <v>45805</v>
      </c>
      <c r="C148" t="s">
        <v>37</v>
      </c>
      <c r="D148" t="s">
        <v>38</v>
      </c>
      <c r="E148">
        <v>3</v>
      </c>
      <c r="F148" s="3">
        <v>385</v>
      </c>
      <c r="G148" s="3">
        <v>1155</v>
      </c>
      <c r="H148" t="s">
        <v>25</v>
      </c>
      <c r="I148" t="s">
        <v>26</v>
      </c>
      <c r="J148" t="s">
        <v>23</v>
      </c>
    </row>
    <row r="149" spans="1:10" x14ac:dyDescent="0.3">
      <c r="A149">
        <v>1148</v>
      </c>
      <c r="B149" s="2">
        <v>45806</v>
      </c>
      <c r="C149" t="s">
        <v>40</v>
      </c>
      <c r="D149" t="s">
        <v>29</v>
      </c>
      <c r="E149">
        <v>1</v>
      </c>
      <c r="F149" s="3">
        <v>1196</v>
      </c>
      <c r="G149" s="3">
        <v>1196</v>
      </c>
      <c r="H149" t="s">
        <v>44</v>
      </c>
      <c r="I149" t="s">
        <v>35</v>
      </c>
      <c r="J149" t="s">
        <v>27</v>
      </c>
    </row>
    <row r="150" spans="1:10" x14ac:dyDescent="0.3">
      <c r="A150">
        <v>1149</v>
      </c>
      <c r="B150" s="2">
        <v>45807</v>
      </c>
      <c r="C150" t="s">
        <v>42</v>
      </c>
      <c r="D150" t="s">
        <v>20</v>
      </c>
      <c r="E150">
        <v>2</v>
      </c>
      <c r="F150" s="3">
        <v>4766</v>
      </c>
      <c r="G150" s="3">
        <v>9532</v>
      </c>
      <c r="H150" t="s">
        <v>41</v>
      </c>
      <c r="I150" t="s">
        <v>35</v>
      </c>
      <c r="J150" t="s">
        <v>23</v>
      </c>
    </row>
    <row r="151" spans="1:10" x14ac:dyDescent="0.3">
      <c r="A151">
        <v>1150</v>
      </c>
      <c r="B151" s="2">
        <v>45808</v>
      </c>
      <c r="C151" t="s">
        <v>43</v>
      </c>
      <c r="D151" t="s">
        <v>31</v>
      </c>
      <c r="E151">
        <v>4</v>
      </c>
      <c r="F151" s="3">
        <v>317</v>
      </c>
      <c r="G151" s="3">
        <v>1268</v>
      </c>
      <c r="H151" t="s">
        <v>21</v>
      </c>
      <c r="I151" t="s">
        <v>22</v>
      </c>
      <c r="J151" t="s">
        <v>36</v>
      </c>
    </row>
    <row r="152" spans="1:10" x14ac:dyDescent="0.3">
      <c r="A152">
        <v>1151</v>
      </c>
      <c r="B152" s="2">
        <v>45809</v>
      </c>
      <c r="C152" t="s">
        <v>19</v>
      </c>
      <c r="D152" t="s">
        <v>20</v>
      </c>
      <c r="E152">
        <v>2</v>
      </c>
      <c r="F152" s="3">
        <v>59735</v>
      </c>
      <c r="G152" s="3">
        <v>119470</v>
      </c>
      <c r="H152" t="s">
        <v>25</v>
      </c>
      <c r="I152" t="s">
        <v>35</v>
      </c>
      <c r="J152" t="s">
        <v>27</v>
      </c>
    </row>
    <row r="153" spans="1:10" x14ac:dyDescent="0.3">
      <c r="A153">
        <v>1152</v>
      </c>
      <c r="B153" s="2">
        <v>45810</v>
      </c>
      <c r="C153" t="s">
        <v>24</v>
      </c>
      <c r="D153" t="s">
        <v>20</v>
      </c>
      <c r="E153">
        <v>2</v>
      </c>
      <c r="F153" s="3">
        <v>3950</v>
      </c>
      <c r="G153" s="3">
        <v>7900</v>
      </c>
      <c r="H153" t="s">
        <v>32</v>
      </c>
      <c r="I153" t="s">
        <v>26</v>
      </c>
      <c r="J153" t="s">
        <v>27</v>
      </c>
    </row>
    <row r="154" spans="1:10" x14ac:dyDescent="0.3">
      <c r="A154">
        <v>1153</v>
      </c>
      <c r="B154" s="2">
        <v>45811</v>
      </c>
      <c r="C154" t="s">
        <v>28</v>
      </c>
      <c r="D154" t="s">
        <v>29</v>
      </c>
      <c r="E154">
        <v>2</v>
      </c>
      <c r="F154" s="3">
        <v>3263</v>
      </c>
      <c r="G154" s="3">
        <v>6526</v>
      </c>
      <c r="H154" t="s">
        <v>21</v>
      </c>
      <c r="I154" t="s">
        <v>26</v>
      </c>
      <c r="J154" t="s">
        <v>27</v>
      </c>
    </row>
    <row r="155" spans="1:10" x14ac:dyDescent="0.3">
      <c r="A155">
        <v>1154</v>
      </c>
      <c r="B155" s="2">
        <v>45812</v>
      </c>
      <c r="C155" t="s">
        <v>30</v>
      </c>
      <c r="D155" t="s">
        <v>31</v>
      </c>
      <c r="E155">
        <v>4</v>
      </c>
      <c r="F155" s="3">
        <v>8514</v>
      </c>
      <c r="G155" s="3">
        <v>34056</v>
      </c>
      <c r="H155" t="s">
        <v>25</v>
      </c>
      <c r="I155" t="s">
        <v>26</v>
      </c>
      <c r="J155" t="s">
        <v>36</v>
      </c>
    </row>
    <row r="156" spans="1:10" x14ac:dyDescent="0.3">
      <c r="A156">
        <v>1155</v>
      </c>
      <c r="B156" s="2">
        <v>45813</v>
      </c>
      <c r="C156" t="s">
        <v>33</v>
      </c>
      <c r="D156" t="s">
        <v>31</v>
      </c>
      <c r="E156">
        <v>2</v>
      </c>
      <c r="F156" s="3">
        <v>172</v>
      </c>
      <c r="G156" s="3">
        <v>344</v>
      </c>
      <c r="H156" t="s">
        <v>41</v>
      </c>
      <c r="I156" t="s">
        <v>22</v>
      </c>
      <c r="J156" t="s">
        <v>36</v>
      </c>
    </row>
    <row r="157" spans="1:10" x14ac:dyDescent="0.3">
      <c r="A157">
        <v>1156</v>
      </c>
      <c r="B157" s="2">
        <v>45814</v>
      </c>
      <c r="C157" t="s">
        <v>34</v>
      </c>
      <c r="D157" t="s">
        <v>20</v>
      </c>
      <c r="E157">
        <v>1</v>
      </c>
      <c r="F157" s="3">
        <v>21077</v>
      </c>
      <c r="G157" s="3">
        <v>21077</v>
      </c>
      <c r="H157" t="s">
        <v>41</v>
      </c>
      <c r="I157" t="s">
        <v>26</v>
      </c>
      <c r="J157" t="s">
        <v>27</v>
      </c>
    </row>
    <row r="158" spans="1:10" x14ac:dyDescent="0.3">
      <c r="A158">
        <v>1157</v>
      </c>
      <c r="B158" s="2">
        <v>45815</v>
      </c>
      <c r="C158" t="s">
        <v>37</v>
      </c>
      <c r="D158" t="s">
        <v>38</v>
      </c>
      <c r="E158">
        <v>5</v>
      </c>
      <c r="F158" s="3">
        <v>747</v>
      </c>
      <c r="G158" s="3">
        <v>3735</v>
      </c>
      <c r="H158" t="s">
        <v>41</v>
      </c>
      <c r="I158" t="s">
        <v>35</v>
      </c>
      <c r="J158" t="s">
        <v>36</v>
      </c>
    </row>
    <row r="159" spans="1:10" x14ac:dyDescent="0.3">
      <c r="A159">
        <v>1158</v>
      </c>
      <c r="B159" s="2">
        <v>45816</v>
      </c>
      <c r="C159" t="s">
        <v>40</v>
      </c>
      <c r="D159" t="s">
        <v>29</v>
      </c>
      <c r="E159">
        <v>2</v>
      </c>
      <c r="F159" s="3">
        <v>850</v>
      </c>
      <c r="G159" s="3">
        <v>1700</v>
      </c>
      <c r="H159" t="s">
        <v>32</v>
      </c>
      <c r="I159" t="s">
        <v>22</v>
      </c>
      <c r="J159" t="s">
        <v>23</v>
      </c>
    </row>
    <row r="160" spans="1:10" x14ac:dyDescent="0.3">
      <c r="A160">
        <v>1159</v>
      </c>
      <c r="B160" s="2">
        <v>45817</v>
      </c>
      <c r="C160" t="s">
        <v>42</v>
      </c>
      <c r="D160" t="s">
        <v>20</v>
      </c>
      <c r="E160">
        <v>2</v>
      </c>
      <c r="F160" s="3">
        <v>13771</v>
      </c>
      <c r="G160" s="3">
        <v>27542</v>
      </c>
      <c r="H160" t="s">
        <v>21</v>
      </c>
      <c r="I160" t="s">
        <v>22</v>
      </c>
      <c r="J160" t="s">
        <v>23</v>
      </c>
    </row>
    <row r="161" spans="1:10" x14ac:dyDescent="0.3">
      <c r="A161">
        <v>1160</v>
      </c>
      <c r="B161" s="2">
        <v>45818</v>
      </c>
      <c r="C161" t="s">
        <v>43</v>
      </c>
      <c r="D161" t="s">
        <v>31</v>
      </c>
      <c r="E161">
        <v>4</v>
      </c>
      <c r="F161" s="3">
        <v>258</v>
      </c>
      <c r="G161" s="3">
        <v>1032</v>
      </c>
      <c r="H161" t="s">
        <v>41</v>
      </c>
      <c r="I161" t="s">
        <v>26</v>
      </c>
      <c r="J161" t="s">
        <v>27</v>
      </c>
    </row>
    <row r="162" spans="1:10" x14ac:dyDescent="0.3">
      <c r="A162">
        <v>1161</v>
      </c>
      <c r="B162" s="2">
        <v>45819</v>
      </c>
      <c r="C162" t="s">
        <v>19</v>
      </c>
      <c r="D162" t="s">
        <v>20</v>
      </c>
      <c r="E162">
        <v>2</v>
      </c>
      <c r="F162" s="3">
        <v>44856</v>
      </c>
      <c r="G162" s="3">
        <v>89712</v>
      </c>
      <c r="H162" t="s">
        <v>44</v>
      </c>
      <c r="I162" t="s">
        <v>26</v>
      </c>
      <c r="J162" t="s">
        <v>36</v>
      </c>
    </row>
    <row r="163" spans="1:10" x14ac:dyDescent="0.3">
      <c r="A163">
        <v>1162</v>
      </c>
      <c r="B163" s="2">
        <v>45820</v>
      </c>
      <c r="C163" t="s">
        <v>24</v>
      </c>
      <c r="D163" t="s">
        <v>20</v>
      </c>
      <c r="E163">
        <v>3</v>
      </c>
      <c r="F163" s="3">
        <v>3161</v>
      </c>
      <c r="G163" s="3">
        <v>9483</v>
      </c>
      <c r="H163" t="s">
        <v>21</v>
      </c>
      <c r="I163" t="s">
        <v>26</v>
      </c>
      <c r="J163" t="s">
        <v>36</v>
      </c>
    </row>
    <row r="164" spans="1:10" x14ac:dyDescent="0.3">
      <c r="A164">
        <v>1163</v>
      </c>
      <c r="B164" s="2">
        <v>45821</v>
      </c>
      <c r="C164" t="s">
        <v>28</v>
      </c>
      <c r="D164" t="s">
        <v>29</v>
      </c>
      <c r="E164">
        <v>1</v>
      </c>
      <c r="F164" s="3">
        <v>4464</v>
      </c>
      <c r="G164" s="3">
        <v>4464</v>
      </c>
      <c r="H164" t="s">
        <v>21</v>
      </c>
      <c r="I164" t="s">
        <v>35</v>
      </c>
      <c r="J164" t="s">
        <v>36</v>
      </c>
    </row>
    <row r="165" spans="1:10" x14ac:dyDescent="0.3">
      <c r="A165">
        <v>1164</v>
      </c>
      <c r="B165" s="2">
        <v>45822</v>
      </c>
      <c r="C165" t="s">
        <v>30</v>
      </c>
      <c r="D165" t="s">
        <v>31</v>
      </c>
      <c r="E165">
        <v>1</v>
      </c>
      <c r="F165" s="3">
        <v>4758</v>
      </c>
      <c r="G165" s="3">
        <v>4758</v>
      </c>
      <c r="H165" t="s">
        <v>25</v>
      </c>
      <c r="I165" t="s">
        <v>35</v>
      </c>
      <c r="J165" t="s">
        <v>36</v>
      </c>
    </row>
    <row r="166" spans="1:10" x14ac:dyDescent="0.3">
      <c r="A166">
        <v>1165</v>
      </c>
      <c r="B166" s="2">
        <v>45823</v>
      </c>
      <c r="C166" t="s">
        <v>33</v>
      </c>
      <c r="D166" t="s">
        <v>31</v>
      </c>
      <c r="E166">
        <v>4</v>
      </c>
      <c r="F166" s="3">
        <v>490</v>
      </c>
      <c r="G166" s="3">
        <v>1960</v>
      </c>
      <c r="H166" t="s">
        <v>21</v>
      </c>
      <c r="I166" t="s">
        <v>35</v>
      </c>
      <c r="J166" t="s">
        <v>27</v>
      </c>
    </row>
    <row r="167" spans="1:10" x14ac:dyDescent="0.3">
      <c r="A167">
        <v>1166</v>
      </c>
      <c r="B167" s="2">
        <v>45824</v>
      </c>
      <c r="C167" t="s">
        <v>34</v>
      </c>
      <c r="D167" t="s">
        <v>20</v>
      </c>
      <c r="E167">
        <v>1</v>
      </c>
      <c r="F167" s="3">
        <v>38739</v>
      </c>
      <c r="G167" s="3">
        <v>38739</v>
      </c>
      <c r="H167" t="s">
        <v>41</v>
      </c>
      <c r="I167" t="s">
        <v>22</v>
      </c>
      <c r="J167" t="s">
        <v>27</v>
      </c>
    </row>
    <row r="168" spans="1:10" x14ac:dyDescent="0.3">
      <c r="A168">
        <v>1167</v>
      </c>
      <c r="B168" s="2">
        <v>45825</v>
      </c>
      <c r="C168" t="s">
        <v>37</v>
      </c>
      <c r="D168" t="s">
        <v>38</v>
      </c>
      <c r="E168">
        <v>3</v>
      </c>
      <c r="F168" s="3">
        <v>368</v>
      </c>
      <c r="G168" s="3">
        <v>1104</v>
      </c>
      <c r="H168" t="s">
        <v>21</v>
      </c>
      <c r="I168" t="s">
        <v>26</v>
      </c>
      <c r="J168" t="s">
        <v>36</v>
      </c>
    </row>
    <row r="169" spans="1:10" x14ac:dyDescent="0.3">
      <c r="A169">
        <v>1168</v>
      </c>
      <c r="B169" s="2">
        <v>45826</v>
      </c>
      <c r="C169" t="s">
        <v>40</v>
      </c>
      <c r="D169" t="s">
        <v>29</v>
      </c>
      <c r="E169">
        <v>1</v>
      </c>
      <c r="F169" s="3">
        <v>1931</v>
      </c>
      <c r="G169" s="3">
        <v>1931</v>
      </c>
      <c r="H169" t="s">
        <v>32</v>
      </c>
      <c r="I169" t="s">
        <v>26</v>
      </c>
      <c r="J169" t="s">
        <v>23</v>
      </c>
    </row>
    <row r="170" spans="1:10" x14ac:dyDescent="0.3">
      <c r="A170">
        <v>1169</v>
      </c>
      <c r="B170" s="2">
        <v>45827</v>
      </c>
      <c r="C170" t="s">
        <v>42</v>
      </c>
      <c r="D170" t="s">
        <v>20</v>
      </c>
      <c r="E170">
        <v>2</v>
      </c>
      <c r="F170" s="3">
        <v>14370</v>
      </c>
      <c r="G170" s="3">
        <v>28740</v>
      </c>
      <c r="H170" t="s">
        <v>44</v>
      </c>
      <c r="I170" t="s">
        <v>26</v>
      </c>
      <c r="J170" t="s">
        <v>27</v>
      </c>
    </row>
    <row r="171" spans="1:10" x14ac:dyDescent="0.3">
      <c r="A171">
        <v>1170</v>
      </c>
      <c r="B171" s="2">
        <v>45828</v>
      </c>
      <c r="C171" t="s">
        <v>43</v>
      </c>
      <c r="D171" t="s">
        <v>31</v>
      </c>
      <c r="E171">
        <v>2</v>
      </c>
      <c r="F171" s="3">
        <v>780</v>
      </c>
      <c r="G171" s="3">
        <v>1560</v>
      </c>
      <c r="H171" t="s">
        <v>21</v>
      </c>
      <c r="I171" t="s">
        <v>35</v>
      </c>
      <c r="J171" t="s">
        <v>36</v>
      </c>
    </row>
    <row r="172" spans="1:10" x14ac:dyDescent="0.3">
      <c r="A172">
        <v>1171</v>
      </c>
      <c r="B172" s="2">
        <v>45829</v>
      </c>
      <c r="C172" t="s">
        <v>19</v>
      </c>
      <c r="D172" t="s">
        <v>20</v>
      </c>
      <c r="E172">
        <v>2</v>
      </c>
      <c r="F172" s="3">
        <v>54865</v>
      </c>
      <c r="G172" s="3">
        <v>109730</v>
      </c>
      <c r="H172" t="s">
        <v>41</v>
      </c>
      <c r="I172" t="s">
        <v>22</v>
      </c>
      <c r="J172" t="s">
        <v>27</v>
      </c>
    </row>
    <row r="173" spans="1:10" x14ac:dyDescent="0.3">
      <c r="A173">
        <v>1172</v>
      </c>
      <c r="B173" s="2">
        <v>45830</v>
      </c>
      <c r="C173" t="s">
        <v>24</v>
      </c>
      <c r="D173" t="s">
        <v>20</v>
      </c>
      <c r="E173">
        <v>2</v>
      </c>
      <c r="F173" s="3">
        <v>4481</v>
      </c>
      <c r="G173" s="3">
        <v>8962</v>
      </c>
      <c r="H173" t="s">
        <v>39</v>
      </c>
      <c r="I173" t="s">
        <v>22</v>
      </c>
      <c r="J173" t="s">
        <v>27</v>
      </c>
    </row>
    <row r="174" spans="1:10" x14ac:dyDescent="0.3">
      <c r="A174">
        <v>1173</v>
      </c>
      <c r="B174" s="2">
        <v>45831</v>
      </c>
      <c r="C174" t="s">
        <v>28</v>
      </c>
      <c r="D174" t="s">
        <v>29</v>
      </c>
      <c r="E174">
        <v>2</v>
      </c>
      <c r="F174" s="3">
        <v>1972</v>
      </c>
      <c r="G174" s="3">
        <v>3944</v>
      </c>
      <c r="H174" t="s">
        <v>32</v>
      </c>
      <c r="I174" t="s">
        <v>22</v>
      </c>
      <c r="J174" t="s">
        <v>23</v>
      </c>
    </row>
    <row r="175" spans="1:10" x14ac:dyDescent="0.3">
      <c r="A175">
        <v>1174</v>
      </c>
      <c r="B175" s="2">
        <v>45832</v>
      </c>
      <c r="C175" t="s">
        <v>30</v>
      </c>
      <c r="D175" t="s">
        <v>31</v>
      </c>
      <c r="E175">
        <v>1</v>
      </c>
      <c r="F175" s="3">
        <v>9837</v>
      </c>
      <c r="G175" s="3">
        <v>9837</v>
      </c>
      <c r="H175" t="s">
        <v>41</v>
      </c>
      <c r="I175" t="s">
        <v>22</v>
      </c>
      <c r="J175" t="s">
        <v>23</v>
      </c>
    </row>
    <row r="176" spans="1:10" x14ac:dyDescent="0.3">
      <c r="A176">
        <v>1175</v>
      </c>
      <c r="B176" s="2">
        <v>45833</v>
      </c>
      <c r="C176" t="s">
        <v>33</v>
      </c>
      <c r="D176" t="s">
        <v>31</v>
      </c>
      <c r="E176">
        <v>5</v>
      </c>
      <c r="F176" s="3">
        <v>857</v>
      </c>
      <c r="G176" s="3">
        <v>4285</v>
      </c>
      <c r="H176" t="s">
        <v>21</v>
      </c>
      <c r="I176" t="s">
        <v>26</v>
      </c>
      <c r="J176" t="s">
        <v>23</v>
      </c>
    </row>
    <row r="177" spans="1:10" x14ac:dyDescent="0.3">
      <c r="A177">
        <v>1176</v>
      </c>
      <c r="B177" s="2">
        <v>45834</v>
      </c>
      <c r="C177" t="s">
        <v>34</v>
      </c>
      <c r="D177" t="s">
        <v>20</v>
      </c>
      <c r="E177">
        <v>1</v>
      </c>
      <c r="F177" s="3">
        <v>20323</v>
      </c>
      <c r="G177" s="3">
        <v>20323</v>
      </c>
      <c r="H177" t="s">
        <v>21</v>
      </c>
      <c r="I177" t="s">
        <v>22</v>
      </c>
      <c r="J177" t="s">
        <v>23</v>
      </c>
    </row>
    <row r="178" spans="1:10" x14ac:dyDescent="0.3">
      <c r="A178">
        <v>1177</v>
      </c>
      <c r="B178" s="2">
        <v>45835</v>
      </c>
      <c r="C178" t="s">
        <v>37</v>
      </c>
      <c r="D178" t="s">
        <v>38</v>
      </c>
      <c r="E178">
        <v>5</v>
      </c>
      <c r="F178" s="3">
        <v>1000</v>
      </c>
      <c r="G178" s="3">
        <v>5000</v>
      </c>
      <c r="H178" t="s">
        <v>41</v>
      </c>
      <c r="I178" t="s">
        <v>26</v>
      </c>
      <c r="J178" t="s">
        <v>36</v>
      </c>
    </row>
    <row r="179" spans="1:10" x14ac:dyDescent="0.3">
      <c r="A179">
        <v>1178</v>
      </c>
      <c r="B179" s="2">
        <v>45836</v>
      </c>
      <c r="C179" t="s">
        <v>40</v>
      </c>
      <c r="D179" t="s">
        <v>29</v>
      </c>
      <c r="E179">
        <v>5</v>
      </c>
      <c r="F179" s="3">
        <v>1359</v>
      </c>
      <c r="G179" s="3">
        <v>6795</v>
      </c>
      <c r="H179" t="s">
        <v>21</v>
      </c>
      <c r="I179" t="s">
        <v>35</v>
      </c>
      <c r="J179" t="s">
        <v>36</v>
      </c>
    </row>
    <row r="180" spans="1:10" x14ac:dyDescent="0.3">
      <c r="A180">
        <v>1179</v>
      </c>
      <c r="B180" s="2">
        <v>45837</v>
      </c>
      <c r="C180" t="s">
        <v>42</v>
      </c>
      <c r="D180" t="s">
        <v>20</v>
      </c>
      <c r="E180">
        <v>1</v>
      </c>
      <c r="F180" s="3">
        <v>14026</v>
      </c>
      <c r="G180" s="3">
        <v>14026</v>
      </c>
      <c r="H180" t="s">
        <v>32</v>
      </c>
      <c r="I180" t="s">
        <v>35</v>
      </c>
      <c r="J180" t="s">
        <v>23</v>
      </c>
    </row>
    <row r="181" spans="1:10" x14ac:dyDescent="0.3">
      <c r="A181">
        <v>1180</v>
      </c>
      <c r="B181" s="2">
        <v>45838</v>
      </c>
      <c r="C181" t="s">
        <v>43</v>
      </c>
      <c r="D181" t="s">
        <v>31</v>
      </c>
      <c r="E181">
        <v>2</v>
      </c>
      <c r="F181" s="3">
        <v>685</v>
      </c>
      <c r="G181" s="3">
        <v>1370</v>
      </c>
      <c r="H181" t="s">
        <v>41</v>
      </c>
      <c r="I181" t="s">
        <v>26</v>
      </c>
      <c r="J181" t="s">
        <v>27</v>
      </c>
    </row>
    <row r="182" spans="1:10" x14ac:dyDescent="0.3">
      <c r="A182">
        <v>1181</v>
      </c>
      <c r="B182" s="2">
        <v>45839</v>
      </c>
      <c r="C182" t="s">
        <v>19</v>
      </c>
      <c r="D182" t="s">
        <v>20</v>
      </c>
      <c r="E182">
        <v>1</v>
      </c>
      <c r="F182" s="3">
        <v>54311</v>
      </c>
      <c r="G182" s="3">
        <v>54311</v>
      </c>
      <c r="H182" t="s">
        <v>25</v>
      </c>
      <c r="I182" t="s">
        <v>35</v>
      </c>
      <c r="J182" t="s">
        <v>27</v>
      </c>
    </row>
    <row r="183" spans="1:10" x14ac:dyDescent="0.3">
      <c r="A183">
        <v>1182</v>
      </c>
      <c r="B183" s="2">
        <v>45840</v>
      </c>
      <c r="C183" t="s">
        <v>24</v>
      </c>
      <c r="D183" t="s">
        <v>20</v>
      </c>
      <c r="E183">
        <v>2</v>
      </c>
      <c r="F183" s="3">
        <v>1713</v>
      </c>
      <c r="G183" s="3">
        <v>3426</v>
      </c>
      <c r="H183" t="s">
        <v>32</v>
      </c>
      <c r="I183" t="s">
        <v>22</v>
      </c>
      <c r="J183" t="s">
        <v>23</v>
      </c>
    </row>
    <row r="184" spans="1:10" x14ac:dyDescent="0.3">
      <c r="A184">
        <v>1183</v>
      </c>
      <c r="B184" s="2">
        <v>45841</v>
      </c>
      <c r="C184" t="s">
        <v>28</v>
      </c>
      <c r="D184" t="s">
        <v>29</v>
      </c>
      <c r="E184">
        <v>2</v>
      </c>
      <c r="F184" s="3">
        <v>3204</v>
      </c>
      <c r="G184" s="3">
        <v>6408</v>
      </c>
      <c r="H184" t="s">
        <v>41</v>
      </c>
      <c r="I184" t="s">
        <v>35</v>
      </c>
      <c r="J184" t="s">
        <v>27</v>
      </c>
    </row>
    <row r="185" spans="1:10" x14ac:dyDescent="0.3">
      <c r="A185">
        <v>1184</v>
      </c>
      <c r="B185" s="2">
        <v>45842</v>
      </c>
      <c r="C185" t="s">
        <v>30</v>
      </c>
      <c r="D185" t="s">
        <v>31</v>
      </c>
      <c r="E185">
        <v>5</v>
      </c>
      <c r="F185" s="3">
        <v>18542</v>
      </c>
      <c r="G185" s="3">
        <v>92710</v>
      </c>
      <c r="H185" t="s">
        <v>41</v>
      </c>
      <c r="I185" t="s">
        <v>26</v>
      </c>
      <c r="J185" t="s">
        <v>27</v>
      </c>
    </row>
    <row r="186" spans="1:10" x14ac:dyDescent="0.3">
      <c r="A186">
        <v>1185</v>
      </c>
      <c r="B186" s="2">
        <v>45843</v>
      </c>
      <c r="C186" t="s">
        <v>33</v>
      </c>
      <c r="D186" t="s">
        <v>31</v>
      </c>
      <c r="E186">
        <v>1</v>
      </c>
      <c r="F186" s="3">
        <v>521</v>
      </c>
      <c r="G186" s="3">
        <v>521</v>
      </c>
      <c r="H186" t="s">
        <v>21</v>
      </c>
      <c r="I186" t="s">
        <v>22</v>
      </c>
      <c r="J186" t="s">
        <v>27</v>
      </c>
    </row>
    <row r="187" spans="1:10" x14ac:dyDescent="0.3">
      <c r="A187">
        <v>1186</v>
      </c>
      <c r="B187" s="2">
        <v>45844</v>
      </c>
      <c r="C187" t="s">
        <v>34</v>
      </c>
      <c r="D187" t="s">
        <v>20</v>
      </c>
      <c r="E187">
        <v>1</v>
      </c>
      <c r="F187" s="3">
        <v>13218</v>
      </c>
      <c r="G187" s="3">
        <v>13218</v>
      </c>
      <c r="H187" t="s">
        <v>41</v>
      </c>
      <c r="I187" t="s">
        <v>22</v>
      </c>
      <c r="J187" t="s">
        <v>27</v>
      </c>
    </row>
    <row r="188" spans="1:10" x14ac:dyDescent="0.3">
      <c r="A188">
        <v>1187</v>
      </c>
      <c r="B188" s="2">
        <v>45845</v>
      </c>
      <c r="C188" t="s">
        <v>37</v>
      </c>
      <c r="D188" t="s">
        <v>38</v>
      </c>
      <c r="E188">
        <v>2</v>
      </c>
      <c r="F188" s="3">
        <v>248</v>
      </c>
      <c r="G188" s="3">
        <v>496</v>
      </c>
      <c r="H188" t="s">
        <v>32</v>
      </c>
      <c r="I188" t="s">
        <v>26</v>
      </c>
      <c r="J188" t="s">
        <v>27</v>
      </c>
    </row>
    <row r="189" spans="1:10" x14ac:dyDescent="0.3">
      <c r="A189">
        <v>1188</v>
      </c>
      <c r="B189" s="2">
        <v>45846</v>
      </c>
      <c r="C189" t="s">
        <v>40</v>
      </c>
      <c r="D189" t="s">
        <v>29</v>
      </c>
      <c r="E189">
        <v>4</v>
      </c>
      <c r="F189" s="3">
        <v>1353</v>
      </c>
      <c r="G189" s="3">
        <v>5412</v>
      </c>
      <c r="H189" t="s">
        <v>32</v>
      </c>
      <c r="I189" t="s">
        <v>35</v>
      </c>
      <c r="J189" t="s">
        <v>36</v>
      </c>
    </row>
    <row r="190" spans="1:10" x14ac:dyDescent="0.3">
      <c r="A190">
        <v>1189</v>
      </c>
      <c r="B190" s="2">
        <v>45847</v>
      </c>
      <c r="C190" t="s">
        <v>42</v>
      </c>
      <c r="D190" t="s">
        <v>20</v>
      </c>
      <c r="E190">
        <v>2</v>
      </c>
      <c r="F190" s="3">
        <v>13462</v>
      </c>
      <c r="G190" s="3">
        <v>26924</v>
      </c>
      <c r="H190" t="s">
        <v>21</v>
      </c>
      <c r="I190" t="s">
        <v>26</v>
      </c>
      <c r="J190" t="s">
        <v>36</v>
      </c>
    </row>
    <row r="191" spans="1:10" x14ac:dyDescent="0.3">
      <c r="A191">
        <v>1190</v>
      </c>
      <c r="B191" s="2">
        <v>45848</v>
      </c>
      <c r="C191" t="s">
        <v>43</v>
      </c>
      <c r="D191" t="s">
        <v>31</v>
      </c>
      <c r="E191">
        <v>5</v>
      </c>
      <c r="F191" s="3">
        <v>404</v>
      </c>
      <c r="G191" s="3">
        <v>2020</v>
      </c>
      <c r="H191" t="s">
        <v>41</v>
      </c>
      <c r="I191" t="s">
        <v>26</v>
      </c>
      <c r="J191" t="s">
        <v>23</v>
      </c>
    </row>
    <row r="192" spans="1:10" x14ac:dyDescent="0.3">
      <c r="A192">
        <v>1191</v>
      </c>
      <c r="B192" s="2">
        <v>45849</v>
      </c>
      <c r="C192" t="s">
        <v>19</v>
      </c>
      <c r="D192" t="s">
        <v>20</v>
      </c>
      <c r="E192">
        <v>1</v>
      </c>
      <c r="F192" s="3">
        <v>59800</v>
      </c>
      <c r="G192" s="3">
        <v>59800</v>
      </c>
      <c r="H192" t="s">
        <v>39</v>
      </c>
      <c r="I192" t="s">
        <v>26</v>
      </c>
      <c r="J192" t="s">
        <v>36</v>
      </c>
    </row>
    <row r="193" spans="1:10" x14ac:dyDescent="0.3">
      <c r="A193">
        <v>1192</v>
      </c>
      <c r="B193" s="2">
        <v>45850</v>
      </c>
      <c r="C193" t="s">
        <v>24</v>
      </c>
      <c r="D193" t="s">
        <v>20</v>
      </c>
      <c r="E193">
        <v>2</v>
      </c>
      <c r="F193" s="3">
        <v>2639</v>
      </c>
      <c r="G193" s="3">
        <v>5278</v>
      </c>
      <c r="H193" t="s">
        <v>25</v>
      </c>
      <c r="I193" t="s">
        <v>35</v>
      </c>
      <c r="J193" t="s">
        <v>27</v>
      </c>
    </row>
    <row r="194" spans="1:10" x14ac:dyDescent="0.3">
      <c r="A194">
        <v>1193</v>
      </c>
      <c r="B194" s="2">
        <v>45851</v>
      </c>
      <c r="C194" t="s">
        <v>28</v>
      </c>
      <c r="D194" t="s">
        <v>29</v>
      </c>
      <c r="E194">
        <v>1</v>
      </c>
      <c r="F194" s="3">
        <v>2167</v>
      </c>
      <c r="G194" s="3">
        <v>2167</v>
      </c>
      <c r="H194" t="s">
        <v>44</v>
      </c>
      <c r="I194" t="s">
        <v>22</v>
      </c>
      <c r="J194" t="s">
        <v>27</v>
      </c>
    </row>
    <row r="195" spans="1:10" x14ac:dyDescent="0.3">
      <c r="A195">
        <v>1194</v>
      </c>
      <c r="B195" s="2">
        <v>45852</v>
      </c>
      <c r="C195" t="s">
        <v>30</v>
      </c>
      <c r="D195" t="s">
        <v>31</v>
      </c>
      <c r="E195">
        <v>3</v>
      </c>
      <c r="F195" s="3">
        <v>8179</v>
      </c>
      <c r="G195" s="3">
        <v>24537</v>
      </c>
      <c r="H195" t="s">
        <v>21</v>
      </c>
      <c r="I195" t="s">
        <v>35</v>
      </c>
      <c r="J195" t="s">
        <v>23</v>
      </c>
    </row>
    <row r="196" spans="1:10" x14ac:dyDescent="0.3">
      <c r="A196">
        <v>1195</v>
      </c>
      <c r="B196" s="2">
        <v>45853</v>
      </c>
      <c r="C196" t="s">
        <v>33</v>
      </c>
      <c r="D196" t="s">
        <v>31</v>
      </c>
      <c r="E196">
        <v>1</v>
      </c>
      <c r="F196" s="3">
        <v>374</v>
      </c>
      <c r="G196" s="3">
        <v>374</v>
      </c>
      <c r="H196" t="s">
        <v>41</v>
      </c>
      <c r="I196" t="s">
        <v>22</v>
      </c>
      <c r="J196" t="s">
        <v>23</v>
      </c>
    </row>
    <row r="197" spans="1:10" x14ac:dyDescent="0.3">
      <c r="A197">
        <v>1196</v>
      </c>
      <c r="B197" s="2">
        <v>45854</v>
      </c>
      <c r="C197" t="s">
        <v>34</v>
      </c>
      <c r="D197" t="s">
        <v>20</v>
      </c>
      <c r="E197">
        <v>1</v>
      </c>
      <c r="F197" s="3">
        <v>36595</v>
      </c>
      <c r="G197" s="3">
        <v>36595</v>
      </c>
      <c r="H197" t="s">
        <v>32</v>
      </c>
      <c r="I197" t="s">
        <v>22</v>
      </c>
      <c r="J197" t="s">
        <v>36</v>
      </c>
    </row>
    <row r="198" spans="1:10" x14ac:dyDescent="0.3">
      <c r="A198">
        <v>1197</v>
      </c>
      <c r="B198" s="2">
        <v>45855</v>
      </c>
      <c r="C198" t="s">
        <v>37</v>
      </c>
      <c r="D198" t="s">
        <v>38</v>
      </c>
      <c r="E198">
        <v>5</v>
      </c>
      <c r="F198" s="3">
        <v>570</v>
      </c>
      <c r="G198" s="3">
        <v>2850</v>
      </c>
      <c r="H198" t="s">
        <v>39</v>
      </c>
      <c r="I198" t="s">
        <v>26</v>
      </c>
      <c r="J198" t="s">
        <v>27</v>
      </c>
    </row>
    <row r="199" spans="1:10" x14ac:dyDescent="0.3">
      <c r="A199">
        <v>1198</v>
      </c>
      <c r="B199" s="2">
        <v>45856</v>
      </c>
      <c r="C199" t="s">
        <v>40</v>
      </c>
      <c r="D199" t="s">
        <v>29</v>
      </c>
      <c r="E199">
        <v>3</v>
      </c>
      <c r="F199" s="3">
        <v>1005</v>
      </c>
      <c r="G199" s="3">
        <v>3015</v>
      </c>
      <c r="H199" t="s">
        <v>39</v>
      </c>
      <c r="I199" t="s">
        <v>26</v>
      </c>
      <c r="J199" t="s">
        <v>36</v>
      </c>
    </row>
    <row r="200" spans="1:10" x14ac:dyDescent="0.3">
      <c r="A200">
        <v>1199</v>
      </c>
      <c r="B200" s="2">
        <v>45857</v>
      </c>
      <c r="C200" t="s">
        <v>42</v>
      </c>
      <c r="D200" t="s">
        <v>20</v>
      </c>
      <c r="E200">
        <v>2</v>
      </c>
      <c r="F200" s="3">
        <v>14435</v>
      </c>
      <c r="G200" s="3">
        <v>28870</v>
      </c>
      <c r="H200" t="s">
        <v>25</v>
      </c>
      <c r="I200" t="s">
        <v>26</v>
      </c>
      <c r="J200" t="s">
        <v>23</v>
      </c>
    </row>
    <row r="201" spans="1:10" x14ac:dyDescent="0.3">
      <c r="A201">
        <v>1200</v>
      </c>
      <c r="B201" s="2">
        <v>45858</v>
      </c>
      <c r="C201" t="s">
        <v>43</v>
      </c>
      <c r="D201" t="s">
        <v>31</v>
      </c>
      <c r="E201">
        <v>5</v>
      </c>
      <c r="F201" s="3">
        <v>351</v>
      </c>
      <c r="G201" s="3">
        <v>1755</v>
      </c>
      <c r="H201" t="s">
        <v>41</v>
      </c>
      <c r="I201" t="s">
        <v>35</v>
      </c>
      <c r="J201" t="s">
        <v>23</v>
      </c>
    </row>
    <row r="202" spans="1:10" x14ac:dyDescent="0.3">
      <c r="A202">
        <v>1201</v>
      </c>
      <c r="B202" s="2">
        <v>45859</v>
      </c>
      <c r="C202" t="s">
        <v>19</v>
      </c>
      <c r="D202" t="s">
        <v>20</v>
      </c>
      <c r="E202">
        <v>2</v>
      </c>
      <c r="F202" s="3">
        <v>60581</v>
      </c>
      <c r="G202" s="3">
        <v>121162</v>
      </c>
      <c r="H202" t="s">
        <v>32</v>
      </c>
      <c r="I202" t="s">
        <v>22</v>
      </c>
      <c r="J202" t="s">
        <v>36</v>
      </c>
    </row>
    <row r="203" spans="1:10" x14ac:dyDescent="0.3">
      <c r="A203">
        <v>1202</v>
      </c>
      <c r="B203" s="2">
        <v>45860</v>
      </c>
      <c r="C203" t="s">
        <v>24</v>
      </c>
      <c r="D203" t="s">
        <v>20</v>
      </c>
      <c r="E203">
        <v>1</v>
      </c>
      <c r="F203" s="3">
        <v>2742</v>
      </c>
      <c r="G203" s="3">
        <v>2742</v>
      </c>
      <c r="H203" t="s">
        <v>44</v>
      </c>
      <c r="I203" t="s">
        <v>35</v>
      </c>
      <c r="J203" t="s">
        <v>36</v>
      </c>
    </row>
    <row r="204" spans="1:10" x14ac:dyDescent="0.3">
      <c r="A204">
        <v>1203</v>
      </c>
      <c r="B204" s="2">
        <v>45861</v>
      </c>
      <c r="C204" t="s">
        <v>28</v>
      </c>
      <c r="D204" t="s">
        <v>29</v>
      </c>
      <c r="E204">
        <v>3</v>
      </c>
      <c r="F204" s="3">
        <v>3576</v>
      </c>
      <c r="G204" s="3">
        <v>10728</v>
      </c>
      <c r="H204" t="s">
        <v>39</v>
      </c>
      <c r="I204" t="s">
        <v>22</v>
      </c>
      <c r="J204" t="s">
        <v>23</v>
      </c>
    </row>
    <row r="205" spans="1:10" x14ac:dyDescent="0.3">
      <c r="A205">
        <v>1204</v>
      </c>
      <c r="B205" s="2">
        <v>45862</v>
      </c>
      <c r="C205" t="s">
        <v>30</v>
      </c>
      <c r="D205" t="s">
        <v>31</v>
      </c>
      <c r="E205">
        <v>4</v>
      </c>
      <c r="F205" s="3">
        <v>15524</v>
      </c>
      <c r="G205" s="3">
        <v>62096</v>
      </c>
      <c r="H205" t="s">
        <v>21</v>
      </c>
      <c r="I205" t="s">
        <v>26</v>
      </c>
      <c r="J205" t="s">
        <v>23</v>
      </c>
    </row>
    <row r="206" spans="1:10" x14ac:dyDescent="0.3">
      <c r="A206">
        <v>1205</v>
      </c>
      <c r="B206" s="2">
        <v>45863</v>
      </c>
      <c r="C206" t="s">
        <v>33</v>
      </c>
      <c r="D206" t="s">
        <v>31</v>
      </c>
      <c r="E206">
        <v>3</v>
      </c>
      <c r="F206" s="3">
        <v>973</v>
      </c>
      <c r="G206" s="3">
        <v>2919</v>
      </c>
      <c r="H206" t="s">
        <v>32</v>
      </c>
      <c r="I206" t="s">
        <v>26</v>
      </c>
      <c r="J206" t="s">
        <v>27</v>
      </c>
    </row>
    <row r="207" spans="1:10" x14ac:dyDescent="0.3">
      <c r="A207">
        <v>1206</v>
      </c>
      <c r="B207" s="2">
        <v>45864</v>
      </c>
      <c r="C207" t="s">
        <v>34</v>
      </c>
      <c r="D207" t="s">
        <v>20</v>
      </c>
      <c r="E207">
        <v>2</v>
      </c>
      <c r="F207" s="3">
        <v>19223</v>
      </c>
      <c r="G207" s="3">
        <v>38446</v>
      </c>
      <c r="H207" t="s">
        <v>32</v>
      </c>
      <c r="I207" t="s">
        <v>22</v>
      </c>
      <c r="J207" t="s">
        <v>27</v>
      </c>
    </row>
    <row r="208" spans="1:10" x14ac:dyDescent="0.3">
      <c r="A208">
        <v>1207</v>
      </c>
      <c r="B208" s="2">
        <v>45865</v>
      </c>
      <c r="C208" t="s">
        <v>37</v>
      </c>
      <c r="D208" t="s">
        <v>38</v>
      </c>
      <c r="E208">
        <v>3</v>
      </c>
      <c r="F208" s="3">
        <v>197</v>
      </c>
      <c r="G208" s="3">
        <v>591</v>
      </c>
      <c r="H208" t="s">
        <v>44</v>
      </c>
      <c r="I208" t="s">
        <v>35</v>
      </c>
      <c r="J208" t="s">
        <v>23</v>
      </c>
    </row>
    <row r="209" spans="1:10" x14ac:dyDescent="0.3">
      <c r="A209">
        <v>1208</v>
      </c>
      <c r="B209" s="2">
        <v>45866</v>
      </c>
      <c r="C209" t="s">
        <v>40</v>
      </c>
      <c r="D209" t="s">
        <v>29</v>
      </c>
      <c r="E209">
        <v>4</v>
      </c>
      <c r="F209" s="3">
        <v>1862</v>
      </c>
      <c r="G209" s="3">
        <v>7448</v>
      </c>
      <c r="H209" t="s">
        <v>21</v>
      </c>
      <c r="I209" t="s">
        <v>35</v>
      </c>
      <c r="J209" t="s">
        <v>27</v>
      </c>
    </row>
    <row r="210" spans="1:10" x14ac:dyDescent="0.3">
      <c r="A210">
        <v>1209</v>
      </c>
      <c r="B210" s="2">
        <v>45867</v>
      </c>
      <c r="C210" t="s">
        <v>42</v>
      </c>
      <c r="D210" t="s">
        <v>20</v>
      </c>
      <c r="E210">
        <v>2</v>
      </c>
      <c r="F210" s="3">
        <v>7732</v>
      </c>
      <c r="G210" s="3">
        <v>15464</v>
      </c>
      <c r="H210" t="s">
        <v>41</v>
      </c>
      <c r="I210" t="s">
        <v>35</v>
      </c>
      <c r="J210" t="s">
        <v>36</v>
      </c>
    </row>
    <row r="211" spans="1:10" x14ac:dyDescent="0.3">
      <c r="A211">
        <v>1210</v>
      </c>
      <c r="B211" s="2">
        <v>45868</v>
      </c>
      <c r="C211" t="s">
        <v>43</v>
      </c>
      <c r="D211" t="s">
        <v>31</v>
      </c>
      <c r="E211">
        <v>3</v>
      </c>
      <c r="F211" s="3">
        <v>508</v>
      </c>
      <c r="G211" s="3">
        <v>1524</v>
      </c>
      <c r="H211" t="s">
        <v>44</v>
      </c>
      <c r="I211" t="s">
        <v>22</v>
      </c>
      <c r="J211" t="s">
        <v>36</v>
      </c>
    </row>
    <row r="212" spans="1:10" x14ac:dyDescent="0.3">
      <c r="A212">
        <v>1211</v>
      </c>
      <c r="B212" s="2">
        <v>45869</v>
      </c>
      <c r="C212" t="s">
        <v>19</v>
      </c>
      <c r="D212" t="s">
        <v>20</v>
      </c>
      <c r="E212">
        <v>1</v>
      </c>
      <c r="F212" s="3">
        <v>55970</v>
      </c>
      <c r="G212" s="3">
        <v>55970</v>
      </c>
      <c r="H212" t="s">
        <v>32</v>
      </c>
      <c r="I212" t="s">
        <v>22</v>
      </c>
      <c r="J212" t="s">
        <v>36</v>
      </c>
    </row>
    <row r="213" spans="1:10" x14ac:dyDescent="0.3">
      <c r="A213">
        <v>1212</v>
      </c>
      <c r="B213" s="2">
        <v>45870</v>
      </c>
      <c r="C213" t="s">
        <v>24</v>
      </c>
      <c r="D213" t="s">
        <v>20</v>
      </c>
      <c r="E213">
        <v>2</v>
      </c>
      <c r="F213" s="3">
        <v>2129</v>
      </c>
      <c r="G213" s="3">
        <v>4258</v>
      </c>
      <c r="H213" t="s">
        <v>39</v>
      </c>
      <c r="I213" t="s">
        <v>35</v>
      </c>
      <c r="J213" t="s">
        <v>36</v>
      </c>
    </row>
    <row r="214" spans="1:10" x14ac:dyDescent="0.3">
      <c r="A214">
        <v>1213</v>
      </c>
      <c r="B214" s="2">
        <v>45871</v>
      </c>
      <c r="C214" t="s">
        <v>28</v>
      </c>
      <c r="D214" t="s">
        <v>29</v>
      </c>
      <c r="E214">
        <v>3</v>
      </c>
      <c r="F214" s="3">
        <v>2280</v>
      </c>
      <c r="G214" s="3">
        <v>6840</v>
      </c>
      <c r="H214" t="s">
        <v>32</v>
      </c>
      <c r="I214" t="s">
        <v>22</v>
      </c>
      <c r="J214" t="s">
        <v>27</v>
      </c>
    </row>
    <row r="215" spans="1:10" x14ac:dyDescent="0.3">
      <c r="A215">
        <v>1214</v>
      </c>
      <c r="B215" s="2">
        <v>45872</v>
      </c>
      <c r="C215" t="s">
        <v>30</v>
      </c>
      <c r="D215" t="s">
        <v>31</v>
      </c>
      <c r="E215">
        <v>1</v>
      </c>
      <c r="F215" s="3">
        <v>2260</v>
      </c>
      <c r="G215" s="3">
        <v>2260</v>
      </c>
      <c r="H215" t="s">
        <v>25</v>
      </c>
      <c r="I215" t="s">
        <v>22</v>
      </c>
      <c r="J215" t="s">
        <v>23</v>
      </c>
    </row>
    <row r="216" spans="1:10" x14ac:dyDescent="0.3">
      <c r="A216">
        <v>1215</v>
      </c>
      <c r="B216" s="2">
        <v>45873</v>
      </c>
      <c r="C216" t="s">
        <v>33</v>
      </c>
      <c r="D216" t="s">
        <v>31</v>
      </c>
      <c r="E216">
        <v>4</v>
      </c>
      <c r="F216" s="3">
        <v>962</v>
      </c>
      <c r="G216" s="3">
        <v>3848</v>
      </c>
      <c r="H216" t="s">
        <v>39</v>
      </c>
      <c r="I216" t="s">
        <v>22</v>
      </c>
      <c r="J216" t="s">
        <v>27</v>
      </c>
    </row>
    <row r="217" spans="1:10" x14ac:dyDescent="0.3">
      <c r="A217">
        <v>1216</v>
      </c>
      <c r="B217" s="2">
        <v>45874</v>
      </c>
      <c r="C217" t="s">
        <v>34</v>
      </c>
      <c r="D217" t="s">
        <v>20</v>
      </c>
      <c r="E217">
        <v>2</v>
      </c>
      <c r="F217" s="3">
        <v>12775</v>
      </c>
      <c r="G217" s="3">
        <v>25550</v>
      </c>
      <c r="H217" t="s">
        <v>41</v>
      </c>
      <c r="I217" t="s">
        <v>35</v>
      </c>
      <c r="J217" t="s">
        <v>23</v>
      </c>
    </row>
    <row r="218" spans="1:10" x14ac:dyDescent="0.3">
      <c r="A218">
        <v>1217</v>
      </c>
      <c r="B218" s="2">
        <v>45875</v>
      </c>
      <c r="C218" t="s">
        <v>37</v>
      </c>
      <c r="D218" t="s">
        <v>38</v>
      </c>
      <c r="E218">
        <v>2</v>
      </c>
      <c r="F218" s="3">
        <v>685</v>
      </c>
      <c r="G218" s="3">
        <v>1370</v>
      </c>
      <c r="H218" t="s">
        <v>21</v>
      </c>
      <c r="I218" t="s">
        <v>26</v>
      </c>
      <c r="J218" t="s">
        <v>36</v>
      </c>
    </row>
    <row r="219" spans="1:10" x14ac:dyDescent="0.3">
      <c r="A219">
        <v>1218</v>
      </c>
      <c r="B219" s="2">
        <v>45876</v>
      </c>
      <c r="C219" t="s">
        <v>40</v>
      </c>
      <c r="D219" t="s">
        <v>29</v>
      </c>
      <c r="E219">
        <v>4</v>
      </c>
      <c r="F219" s="3">
        <v>1218</v>
      </c>
      <c r="G219" s="3">
        <v>4872</v>
      </c>
      <c r="H219" t="s">
        <v>44</v>
      </c>
      <c r="I219" t="s">
        <v>26</v>
      </c>
      <c r="J219" t="s">
        <v>36</v>
      </c>
    </row>
    <row r="220" spans="1:10" x14ac:dyDescent="0.3">
      <c r="A220">
        <v>1219</v>
      </c>
      <c r="B220" s="2">
        <v>45877</v>
      </c>
      <c r="C220" t="s">
        <v>42</v>
      </c>
      <c r="D220" t="s">
        <v>20</v>
      </c>
      <c r="E220">
        <v>1</v>
      </c>
      <c r="F220" s="3">
        <v>4031</v>
      </c>
      <c r="G220" s="3">
        <v>4031</v>
      </c>
      <c r="H220" t="s">
        <v>32</v>
      </c>
      <c r="I220" t="s">
        <v>22</v>
      </c>
      <c r="J220" t="s">
        <v>23</v>
      </c>
    </row>
    <row r="221" spans="1:10" x14ac:dyDescent="0.3">
      <c r="A221">
        <v>1220</v>
      </c>
      <c r="B221" s="2">
        <v>45878</v>
      </c>
      <c r="C221" t="s">
        <v>43</v>
      </c>
      <c r="D221" t="s">
        <v>31</v>
      </c>
      <c r="E221">
        <v>2</v>
      </c>
      <c r="F221" s="3">
        <v>140</v>
      </c>
      <c r="G221" s="3">
        <v>280</v>
      </c>
      <c r="H221" t="s">
        <v>41</v>
      </c>
      <c r="I221" t="s">
        <v>22</v>
      </c>
      <c r="J221" t="s">
        <v>23</v>
      </c>
    </row>
    <row r="222" spans="1:10" x14ac:dyDescent="0.3">
      <c r="A222">
        <v>1221</v>
      </c>
      <c r="B222" s="2">
        <v>45879</v>
      </c>
      <c r="C222" t="s">
        <v>19</v>
      </c>
      <c r="D222" t="s">
        <v>20</v>
      </c>
      <c r="E222">
        <v>2</v>
      </c>
      <c r="F222" s="3">
        <v>54557</v>
      </c>
      <c r="G222" s="3">
        <v>109114</v>
      </c>
      <c r="H222" t="s">
        <v>39</v>
      </c>
      <c r="I222" t="s">
        <v>35</v>
      </c>
      <c r="J222" t="s">
        <v>36</v>
      </c>
    </row>
    <row r="223" spans="1:10" x14ac:dyDescent="0.3">
      <c r="A223">
        <v>1222</v>
      </c>
      <c r="B223" s="2">
        <v>45880</v>
      </c>
      <c r="C223" t="s">
        <v>24</v>
      </c>
      <c r="D223" t="s">
        <v>20</v>
      </c>
      <c r="E223">
        <v>2</v>
      </c>
      <c r="F223" s="3">
        <v>1892</v>
      </c>
      <c r="G223" s="3">
        <v>3784</v>
      </c>
      <c r="H223" t="s">
        <v>41</v>
      </c>
      <c r="I223" t="s">
        <v>22</v>
      </c>
      <c r="J223" t="s">
        <v>23</v>
      </c>
    </row>
    <row r="224" spans="1:10" x14ac:dyDescent="0.3">
      <c r="A224">
        <v>1223</v>
      </c>
      <c r="B224" s="2">
        <v>45881</v>
      </c>
      <c r="C224" t="s">
        <v>28</v>
      </c>
      <c r="D224" t="s">
        <v>29</v>
      </c>
      <c r="E224">
        <v>3</v>
      </c>
      <c r="F224" s="3">
        <v>3197</v>
      </c>
      <c r="G224" s="3">
        <v>9591</v>
      </c>
      <c r="H224" t="s">
        <v>25</v>
      </c>
      <c r="I224" t="s">
        <v>22</v>
      </c>
      <c r="J224" t="s">
        <v>36</v>
      </c>
    </row>
    <row r="225" spans="1:10" x14ac:dyDescent="0.3">
      <c r="A225">
        <v>1224</v>
      </c>
      <c r="B225" s="2">
        <v>45882</v>
      </c>
      <c r="C225" t="s">
        <v>30</v>
      </c>
      <c r="D225" t="s">
        <v>31</v>
      </c>
      <c r="E225">
        <v>5</v>
      </c>
      <c r="F225" s="3">
        <v>10225</v>
      </c>
      <c r="G225" s="3">
        <v>51125</v>
      </c>
      <c r="H225" t="s">
        <v>25</v>
      </c>
      <c r="I225" t="s">
        <v>35</v>
      </c>
      <c r="J225" t="s">
        <v>36</v>
      </c>
    </row>
    <row r="226" spans="1:10" x14ac:dyDescent="0.3">
      <c r="A226">
        <v>1225</v>
      </c>
      <c r="B226" s="2">
        <v>45883</v>
      </c>
      <c r="C226" t="s">
        <v>33</v>
      </c>
      <c r="D226" t="s">
        <v>31</v>
      </c>
      <c r="E226">
        <v>2</v>
      </c>
      <c r="F226" s="3">
        <v>899</v>
      </c>
      <c r="G226" s="3">
        <v>1798</v>
      </c>
      <c r="H226" t="s">
        <v>44</v>
      </c>
      <c r="I226" t="s">
        <v>26</v>
      </c>
      <c r="J226" t="s">
        <v>27</v>
      </c>
    </row>
    <row r="227" spans="1:10" x14ac:dyDescent="0.3">
      <c r="A227">
        <v>1226</v>
      </c>
      <c r="B227" s="2">
        <v>45884</v>
      </c>
      <c r="C227" t="s">
        <v>34</v>
      </c>
      <c r="D227" t="s">
        <v>20</v>
      </c>
      <c r="E227">
        <v>1</v>
      </c>
      <c r="F227" s="3">
        <v>32743</v>
      </c>
      <c r="G227" s="3">
        <v>32743</v>
      </c>
      <c r="H227" t="s">
        <v>44</v>
      </c>
      <c r="I227" t="s">
        <v>22</v>
      </c>
      <c r="J227" t="s">
        <v>23</v>
      </c>
    </row>
    <row r="228" spans="1:10" x14ac:dyDescent="0.3">
      <c r="A228">
        <v>1227</v>
      </c>
      <c r="B228" s="2">
        <v>45885</v>
      </c>
      <c r="C228" t="s">
        <v>37</v>
      </c>
      <c r="D228" t="s">
        <v>38</v>
      </c>
      <c r="E228">
        <v>3</v>
      </c>
      <c r="F228" s="3">
        <v>736</v>
      </c>
      <c r="G228" s="3">
        <v>2208</v>
      </c>
      <c r="H228" t="s">
        <v>41</v>
      </c>
      <c r="I228" t="s">
        <v>35</v>
      </c>
      <c r="J228" t="s">
        <v>36</v>
      </c>
    </row>
    <row r="229" spans="1:10" x14ac:dyDescent="0.3">
      <c r="A229">
        <v>1228</v>
      </c>
      <c r="B229" s="2">
        <v>45886</v>
      </c>
      <c r="C229" t="s">
        <v>40</v>
      </c>
      <c r="D229" t="s">
        <v>29</v>
      </c>
      <c r="E229">
        <v>4</v>
      </c>
      <c r="F229" s="3">
        <v>1504</v>
      </c>
      <c r="G229" s="3">
        <v>6016</v>
      </c>
      <c r="H229" t="s">
        <v>25</v>
      </c>
      <c r="I229" t="s">
        <v>22</v>
      </c>
      <c r="J229" t="s">
        <v>36</v>
      </c>
    </row>
    <row r="230" spans="1:10" x14ac:dyDescent="0.3">
      <c r="A230">
        <v>1229</v>
      </c>
      <c r="B230" s="2">
        <v>45887</v>
      </c>
      <c r="C230" t="s">
        <v>42</v>
      </c>
      <c r="D230" t="s">
        <v>20</v>
      </c>
      <c r="E230">
        <v>2</v>
      </c>
      <c r="F230" s="3">
        <v>7086</v>
      </c>
      <c r="G230" s="3">
        <v>14172</v>
      </c>
      <c r="H230" t="s">
        <v>32</v>
      </c>
      <c r="I230" t="s">
        <v>22</v>
      </c>
      <c r="J230" t="s">
        <v>23</v>
      </c>
    </row>
    <row r="231" spans="1:10" x14ac:dyDescent="0.3">
      <c r="A231">
        <v>1230</v>
      </c>
      <c r="B231" s="2">
        <v>45888</v>
      </c>
      <c r="C231" t="s">
        <v>43</v>
      </c>
      <c r="D231" t="s">
        <v>31</v>
      </c>
      <c r="E231">
        <v>1</v>
      </c>
      <c r="F231" s="3">
        <v>783</v>
      </c>
      <c r="G231" s="3">
        <v>783</v>
      </c>
      <c r="H231" t="s">
        <v>39</v>
      </c>
      <c r="I231" t="s">
        <v>35</v>
      </c>
      <c r="J231" t="s">
        <v>27</v>
      </c>
    </row>
    <row r="232" spans="1:10" x14ac:dyDescent="0.3">
      <c r="A232">
        <v>1231</v>
      </c>
      <c r="B232" s="2">
        <v>45889</v>
      </c>
      <c r="C232" t="s">
        <v>19</v>
      </c>
      <c r="D232" t="s">
        <v>20</v>
      </c>
      <c r="E232">
        <v>1</v>
      </c>
      <c r="F232" s="3">
        <v>67161</v>
      </c>
      <c r="G232" s="3">
        <v>67161</v>
      </c>
      <c r="H232" t="s">
        <v>32</v>
      </c>
      <c r="I232" t="s">
        <v>26</v>
      </c>
      <c r="J232" t="s">
        <v>36</v>
      </c>
    </row>
    <row r="233" spans="1:10" x14ac:dyDescent="0.3">
      <c r="A233">
        <v>1232</v>
      </c>
      <c r="B233" s="2">
        <v>45890</v>
      </c>
      <c r="C233" t="s">
        <v>24</v>
      </c>
      <c r="D233" t="s">
        <v>20</v>
      </c>
      <c r="E233">
        <v>3</v>
      </c>
      <c r="F233" s="3">
        <v>2774</v>
      </c>
      <c r="G233" s="3">
        <v>8322</v>
      </c>
      <c r="H233" t="s">
        <v>21</v>
      </c>
      <c r="I233" t="s">
        <v>26</v>
      </c>
      <c r="J233" t="s">
        <v>27</v>
      </c>
    </row>
    <row r="234" spans="1:10" x14ac:dyDescent="0.3">
      <c r="A234">
        <v>1233</v>
      </c>
      <c r="B234" s="2">
        <v>45891</v>
      </c>
      <c r="C234" t="s">
        <v>28</v>
      </c>
      <c r="D234" t="s">
        <v>29</v>
      </c>
      <c r="E234">
        <v>2</v>
      </c>
      <c r="F234" s="3">
        <v>1961</v>
      </c>
      <c r="G234" s="3">
        <v>3922</v>
      </c>
      <c r="H234" t="s">
        <v>25</v>
      </c>
      <c r="I234" t="s">
        <v>22</v>
      </c>
      <c r="J234" t="s">
        <v>23</v>
      </c>
    </row>
    <row r="235" spans="1:10" x14ac:dyDescent="0.3">
      <c r="A235">
        <v>1234</v>
      </c>
      <c r="B235" s="2">
        <v>45892</v>
      </c>
      <c r="C235" t="s">
        <v>30</v>
      </c>
      <c r="D235" t="s">
        <v>31</v>
      </c>
      <c r="E235">
        <v>3</v>
      </c>
      <c r="F235" s="3">
        <v>3843</v>
      </c>
      <c r="G235" s="3">
        <v>11529</v>
      </c>
      <c r="H235" t="s">
        <v>39</v>
      </c>
      <c r="I235" t="s">
        <v>26</v>
      </c>
      <c r="J235" t="s">
        <v>23</v>
      </c>
    </row>
    <row r="236" spans="1:10" x14ac:dyDescent="0.3">
      <c r="A236">
        <v>1235</v>
      </c>
      <c r="B236" s="2">
        <v>45893</v>
      </c>
      <c r="C236" t="s">
        <v>33</v>
      </c>
      <c r="D236" t="s">
        <v>31</v>
      </c>
      <c r="E236">
        <v>2</v>
      </c>
      <c r="F236" s="3">
        <v>515</v>
      </c>
      <c r="G236" s="3">
        <v>1030</v>
      </c>
      <c r="H236" t="s">
        <v>44</v>
      </c>
      <c r="I236" t="s">
        <v>22</v>
      </c>
      <c r="J236" t="s">
        <v>36</v>
      </c>
    </row>
    <row r="237" spans="1:10" x14ac:dyDescent="0.3">
      <c r="A237">
        <v>1236</v>
      </c>
      <c r="B237" s="2">
        <v>45894</v>
      </c>
      <c r="C237" t="s">
        <v>34</v>
      </c>
      <c r="D237" t="s">
        <v>20</v>
      </c>
      <c r="E237">
        <v>2</v>
      </c>
      <c r="F237" s="3">
        <v>18773</v>
      </c>
      <c r="G237" s="3">
        <v>37546</v>
      </c>
      <c r="H237" t="s">
        <v>39</v>
      </c>
      <c r="I237" t="s">
        <v>26</v>
      </c>
      <c r="J237" t="s">
        <v>36</v>
      </c>
    </row>
    <row r="238" spans="1:10" x14ac:dyDescent="0.3">
      <c r="A238">
        <v>1237</v>
      </c>
      <c r="B238" s="2">
        <v>45895</v>
      </c>
      <c r="C238" t="s">
        <v>37</v>
      </c>
      <c r="D238" t="s">
        <v>38</v>
      </c>
      <c r="E238">
        <v>2</v>
      </c>
      <c r="F238" s="3">
        <v>418</v>
      </c>
      <c r="G238" s="3">
        <v>836</v>
      </c>
      <c r="H238" t="s">
        <v>39</v>
      </c>
      <c r="I238" t="s">
        <v>26</v>
      </c>
      <c r="J238" t="s">
        <v>23</v>
      </c>
    </row>
    <row r="239" spans="1:10" x14ac:dyDescent="0.3">
      <c r="A239">
        <v>1238</v>
      </c>
      <c r="B239" s="2">
        <v>45896</v>
      </c>
      <c r="C239" t="s">
        <v>40</v>
      </c>
      <c r="D239" t="s">
        <v>29</v>
      </c>
      <c r="E239">
        <v>2</v>
      </c>
      <c r="F239" s="3">
        <v>996</v>
      </c>
      <c r="G239" s="3">
        <v>1992</v>
      </c>
      <c r="H239" t="s">
        <v>44</v>
      </c>
      <c r="I239" t="s">
        <v>35</v>
      </c>
      <c r="J239" t="s">
        <v>23</v>
      </c>
    </row>
    <row r="240" spans="1:10" x14ac:dyDescent="0.3">
      <c r="A240">
        <v>1239</v>
      </c>
      <c r="B240" s="2">
        <v>45897</v>
      </c>
      <c r="C240" t="s">
        <v>42</v>
      </c>
      <c r="D240" t="s">
        <v>20</v>
      </c>
      <c r="E240">
        <v>2</v>
      </c>
      <c r="F240" s="3">
        <v>12569</v>
      </c>
      <c r="G240" s="3">
        <v>25138</v>
      </c>
      <c r="H240" t="s">
        <v>39</v>
      </c>
      <c r="I240" t="s">
        <v>22</v>
      </c>
      <c r="J240" t="s">
        <v>27</v>
      </c>
    </row>
    <row r="241" spans="1:10" x14ac:dyDescent="0.3">
      <c r="A241">
        <v>1240</v>
      </c>
      <c r="B241" s="2">
        <v>45898</v>
      </c>
      <c r="C241" t="s">
        <v>43</v>
      </c>
      <c r="D241" t="s">
        <v>31</v>
      </c>
      <c r="E241">
        <v>3</v>
      </c>
      <c r="F241" s="3">
        <v>241</v>
      </c>
      <c r="G241" s="3">
        <v>723</v>
      </c>
      <c r="H241" t="s">
        <v>25</v>
      </c>
      <c r="I241" t="s">
        <v>35</v>
      </c>
      <c r="J241" t="s">
        <v>23</v>
      </c>
    </row>
    <row r="242" spans="1:10" x14ac:dyDescent="0.3">
      <c r="A242">
        <v>1241</v>
      </c>
      <c r="B242" s="2">
        <v>45899</v>
      </c>
      <c r="C242" t="s">
        <v>19</v>
      </c>
      <c r="D242" t="s">
        <v>20</v>
      </c>
      <c r="E242">
        <v>1</v>
      </c>
      <c r="F242" s="3">
        <v>51561</v>
      </c>
      <c r="G242" s="3">
        <v>51561</v>
      </c>
      <c r="H242" t="s">
        <v>32</v>
      </c>
      <c r="I242" t="s">
        <v>26</v>
      </c>
      <c r="J242" t="s">
        <v>27</v>
      </c>
    </row>
    <row r="243" spans="1:10" x14ac:dyDescent="0.3">
      <c r="A243">
        <v>1242</v>
      </c>
      <c r="B243" s="2">
        <v>45900</v>
      </c>
      <c r="C243" t="s">
        <v>24</v>
      </c>
      <c r="D243" t="s">
        <v>20</v>
      </c>
      <c r="E243">
        <v>3</v>
      </c>
      <c r="F243" s="3">
        <v>2846</v>
      </c>
      <c r="G243" s="3">
        <v>8538</v>
      </c>
      <c r="H243" t="s">
        <v>25</v>
      </c>
      <c r="I243" t="s">
        <v>22</v>
      </c>
      <c r="J243" t="s">
        <v>23</v>
      </c>
    </row>
    <row r="244" spans="1:10" x14ac:dyDescent="0.3">
      <c r="A244">
        <v>1243</v>
      </c>
      <c r="B244" s="2">
        <v>45901</v>
      </c>
      <c r="C244" t="s">
        <v>28</v>
      </c>
      <c r="D244" t="s">
        <v>29</v>
      </c>
      <c r="E244">
        <v>2</v>
      </c>
      <c r="F244" s="3">
        <v>1792</v>
      </c>
      <c r="G244" s="3">
        <v>3584</v>
      </c>
      <c r="H244" t="s">
        <v>39</v>
      </c>
      <c r="I244" t="s">
        <v>22</v>
      </c>
      <c r="J244" t="s">
        <v>27</v>
      </c>
    </row>
    <row r="245" spans="1:10" x14ac:dyDescent="0.3">
      <c r="A245">
        <v>1244</v>
      </c>
      <c r="B245" s="2">
        <v>45902</v>
      </c>
      <c r="C245" t="s">
        <v>30</v>
      </c>
      <c r="D245" t="s">
        <v>31</v>
      </c>
      <c r="E245">
        <v>1</v>
      </c>
      <c r="F245" s="3">
        <v>17414</v>
      </c>
      <c r="G245" s="3">
        <v>17414</v>
      </c>
      <c r="H245" t="s">
        <v>39</v>
      </c>
      <c r="I245" t="s">
        <v>22</v>
      </c>
      <c r="J245" t="s">
        <v>27</v>
      </c>
    </row>
    <row r="246" spans="1:10" x14ac:dyDescent="0.3">
      <c r="A246">
        <v>1245</v>
      </c>
      <c r="B246" s="2">
        <v>45903</v>
      </c>
      <c r="C246" t="s">
        <v>33</v>
      </c>
      <c r="D246" t="s">
        <v>31</v>
      </c>
      <c r="E246">
        <v>5</v>
      </c>
      <c r="F246" s="3">
        <v>417</v>
      </c>
      <c r="G246" s="3">
        <v>2085</v>
      </c>
      <c r="H246" t="s">
        <v>44</v>
      </c>
      <c r="I246" t="s">
        <v>26</v>
      </c>
      <c r="J246" t="s">
        <v>36</v>
      </c>
    </row>
    <row r="247" spans="1:10" x14ac:dyDescent="0.3">
      <c r="A247">
        <v>1246</v>
      </c>
      <c r="B247" s="2">
        <v>45904</v>
      </c>
      <c r="C247" t="s">
        <v>34</v>
      </c>
      <c r="D247" t="s">
        <v>20</v>
      </c>
      <c r="E247">
        <v>1</v>
      </c>
      <c r="F247" s="3">
        <v>32293</v>
      </c>
      <c r="G247" s="3">
        <v>32293</v>
      </c>
      <c r="H247" t="s">
        <v>32</v>
      </c>
      <c r="I247" t="s">
        <v>22</v>
      </c>
      <c r="J247" t="s">
        <v>27</v>
      </c>
    </row>
    <row r="248" spans="1:10" x14ac:dyDescent="0.3">
      <c r="A248">
        <v>1247</v>
      </c>
      <c r="B248" s="2">
        <v>45905</v>
      </c>
      <c r="C248" t="s">
        <v>37</v>
      </c>
      <c r="D248" t="s">
        <v>38</v>
      </c>
      <c r="E248">
        <v>2</v>
      </c>
      <c r="F248" s="3">
        <v>750</v>
      </c>
      <c r="G248" s="3">
        <v>1500</v>
      </c>
      <c r="H248" t="s">
        <v>44</v>
      </c>
      <c r="I248" t="s">
        <v>35</v>
      </c>
      <c r="J248" t="s">
        <v>36</v>
      </c>
    </row>
    <row r="249" spans="1:10" x14ac:dyDescent="0.3">
      <c r="A249">
        <v>1248</v>
      </c>
      <c r="B249" s="2">
        <v>45906</v>
      </c>
      <c r="C249" t="s">
        <v>40</v>
      </c>
      <c r="D249" t="s">
        <v>29</v>
      </c>
      <c r="E249">
        <v>3</v>
      </c>
      <c r="F249" s="3">
        <v>1702</v>
      </c>
      <c r="G249" s="3">
        <v>5106</v>
      </c>
      <c r="H249" t="s">
        <v>44</v>
      </c>
      <c r="I249" t="s">
        <v>22</v>
      </c>
      <c r="J249" t="s">
        <v>36</v>
      </c>
    </row>
    <row r="250" spans="1:10" x14ac:dyDescent="0.3">
      <c r="A250">
        <v>1249</v>
      </c>
      <c r="B250" s="2">
        <v>45907</v>
      </c>
      <c r="C250" t="s">
        <v>42</v>
      </c>
      <c r="D250" t="s">
        <v>20</v>
      </c>
      <c r="E250">
        <v>1</v>
      </c>
      <c r="F250" s="3">
        <v>10698</v>
      </c>
      <c r="G250" s="3">
        <v>10698</v>
      </c>
      <c r="H250" t="s">
        <v>25</v>
      </c>
      <c r="I250" t="s">
        <v>26</v>
      </c>
      <c r="J250" t="s">
        <v>23</v>
      </c>
    </row>
    <row r="251" spans="1:10" x14ac:dyDescent="0.3">
      <c r="A251">
        <v>1250</v>
      </c>
      <c r="B251" s="2">
        <v>45908</v>
      </c>
      <c r="C251" t="s">
        <v>43</v>
      </c>
      <c r="D251" t="s">
        <v>31</v>
      </c>
      <c r="E251">
        <v>3</v>
      </c>
      <c r="F251" s="3">
        <v>468</v>
      </c>
      <c r="G251" s="3">
        <v>1404</v>
      </c>
      <c r="H251" t="s">
        <v>25</v>
      </c>
      <c r="I251" t="s">
        <v>22</v>
      </c>
      <c r="J251" t="s">
        <v>27</v>
      </c>
    </row>
    <row r="252" spans="1:10" x14ac:dyDescent="0.3">
      <c r="A252">
        <v>1251</v>
      </c>
      <c r="B252" s="2">
        <v>45909</v>
      </c>
      <c r="C252" t="s">
        <v>19</v>
      </c>
      <c r="D252" t="s">
        <v>20</v>
      </c>
      <c r="E252">
        <v>2</v>
      </c>
      <c r="F252" s="3">
        <v>57310</v>
      </c>
      <c r="G252" s="3">
        <v>114620</v>
      </c>
      <c r="H252" t="s">
        <v>32</v>
      </c>
      <c r="I252" t="s">
        <v>26</v>
      </c>
      <c r="J252" t="s">
        <v>36</v>
      </c>
    </row>
    <row r="253" spans="1:10" x14ac:dyDescent="0.3">
      <c r="A253">
        <v>1252</v>
      </c>
      <c r="B253" s="2">
        <v>45910</v>
      </c>
      <c r="C253" t="s">
        <v>24</v>
      </c>
      <c r="D253" t="s">
        <v>20</v>
      </c>
      <c r="E253">
        <v>1</v>
      </c>
      <c r="F253" s="3">
        <v>1155</v>
      </c>
      <c r="G253" s="3">
        <v>1155</v>
      </c>
      <c r="H253" t="s">
        <v>44</v>
      </c>
      <c r="I253" t="s">
        <v>26</v>
      </c>
      <c r="J253" t="s">
        <v>36</v>
      </c>
    </row>
    <row r="254" spans="1:10" x14ac:dyDescent="0.3">
      <c r="A254">
        <v>1253</v>
      </c>
      <c r="B254" s="2">
        <v>45911</v>
      </c>
      <c r="C254" t="s">
        <v>28</v>
      </c>
      <c r="D254" t="s">
        <v>29</v>
      </c>
      <c r="E254">
        <v>1</v>
      </c>
      <c r="F254" s="3">
        <v>3955</v>
      </c>
      <c r="G254" s="3">
        <v>3955</v>
      </c>
      <c r="H254" t="s">
        <v>32</v>
      </c>
      <c r="I254" t="s">
        <v>26</v>
      </c>
      <c r="J254" t="s">
        <v>27</v>
      </c>
    </row>
    <row r="255" spans="1:10" x14ac:dyDescent="0.3">
      <c r="A255">
        <v>1254</v>
      </c>
      <c r="B255" s="2">
        <v>45912</v>
      </c>
      <c r="C255" t="s">
        <v>30</v>
      </c>
      <c r="D255" t="s">
        <v>31</v>
      </c>
      <c r="E255">
        <v>2</v>
      </c>
      <c r="F255" s="3">
        <v>11560</v>
      </c>
      <c r="G255" s="3">
        <v>23120</v>
      </c>
      <c r="H255" t="s">
        <v>32</v>
      </c>
      <c r="I255" t="s">
        <v>35</v>
      </c>
      <c r="J255" t="s">
        <v>36</v>
      </c>
    </row>
    <row r="256" spans="1:10" x14ac:dyDescent="0.3">
      <c r="A256">
        <v>1255</v>
      </c>
      <c r="B256" s="2">
        <v>45913</v>
      </c>
      <c r="C256" t="s">
        <v>33</v>
      </c>
      <c r="D256" t="s">
        <v>31</v>
      </c>
      <c r="E256">
        <v>3</v>
      </c>
      <c r="F256" s="3">
        <v>457</v>
      </c>
      <c r="G256" s="3">
        <v>1371</v>
      </c>
      <c r="H256" t="s">
        <v>32</v>
      </c>
      <c r="I256" t="s">
        <v>26</v>
      </c>
      <c r="J256" t="s">
        <v>27</v>
      </c>
    </row>
    <row r="257" spans="1:10" x14ac:dyDescent="0.3">
      <c r="A257">
        <v>1256</v>
      </c>
      <c r="B257" s="2">
        <v>45914</v>
      </c>
      <c r="C257" t="s">
        <v>34</v>
      </c>
      <c r="D257" t="s">
        <v>20</v>
      </c>
      <c r="E257">
        <v>2</v>
      </c>
      <c r="F257" s="3">
        <v>22337</v>
      </c>
      <c r="G257" s="3">
        <v>44674</v>
      </c>
      <c r="H257" t="s">
        <v>44</v>
      </c>
      <c r="I257" t="s">
        <v>26</v>
      </c>
      <c r="J257" t="s">
        <v>23</v>
      </c>
    </row>
    <row r="258" spans="1:10" x14ac:dyDescent="0.3">
      <c r="A258">
        <v>1257</v>
      </c>
      <c r="B258" s="2">
        <v>45915</v>
      </c>
      <c r="C258" t="s">
        <v>37</v>
      </c>
      <c r="D258" t="s">
        <v>38</v>
      </c>
      <c r="E258">
        <v>5</v>
      </c>
      <c r="F258" s="3">
        <v>379</v>
      </c>
      <c r="G258" s="3">
        <v>1895</v>
      </c>
      <c r="H258" t="s">
        <v>44</v>
      </c>
      <c r="I258" t="s">
        <v>35</v>
      </c>
      <c r="J258" t="s">
        <v>36</v>
      </c>
    </row>
    <row r="259" spans="1:10" x14ac:dyDescent="0.3">
      <c r="A259">
        <v>1258</v>
      </c>
      <c r="B259" s="2">
        <v>45916</v>
      </c>
      <c r="C259" t="s">
        <v>40</v>
      </c>
      <c r="D259" t="s">
        <v>29</v>
      </c>
      <c r="E259">
        <v>5</v>
      </c>
      <c r="F259" s="3">
        <v>667</v>
      </c>
      <c r="G259" s="3">
        <v>3335</v>
      </c>
      <c r="H259" t="s">
        <v>21</v>
      </c>
      <c r="I259" t="s">
        <v>26</v>
      </c>
      <c r="J259" t="s">
        <v>23</v>
      </c>
    </row>
    <row r="260" spans="1:10" x14ac:dyDescent="0.3">
      <c r="A260">
        <v>1259</v>
      </c>
      <c r="B260" s="2">
        <v>45917</v>
      </c>
      <c r="C260" t="s">
        <v>42</v>
      </c>
      <c r="D260" t="s">
        <v>20</v>
      </c>
      <c r="E260">
        <v>2</v>
      </c>
      <c r="F260" s="3">
        <v>13263</v>
      </c>
      <c r="G260" s="3">
        <v>26526</v>
      </c>
      <c r="H260" t="s">
        <v>39</v>
      </c>
      <c r="I260" t="s">
        <v>26</v>
      </c>
      <c r="J260" t="s">
        <v>27</v>
      </c>
    </row>
    <row r="261" spans="1:10" x14ac:dyDescent="0.3">
      <c r="A261">
        <v>1260</v>
      </c>
      <c r="B261" s="2">
        <v>45918</v>
      </c>
      <c r="C261" t="s">
        <v>43</v>
      </c>
      <c r="D261" t="s">
        <v>31</v>
      </c>
      <c r="E261">
        <v>4</v>
      </c>
      <c r="F261" s="3">
        <v>503</v>
      </c>
      <c r="G261" s="3">
        <v>2012</v>
      </c>
      <c r="H261" t="s">
        <v>32</v>
      </c>
      <c r="I261" t="s">
        <v>22</v>
      </c>
      <c r="J261" t="s">
        <v>27</v>
      </c>
    </row>
    <row r="262" spans="1:10" x14ac:dyDescent="0.3">
      <c r="A262">
        <v>1261</v>
      </c>
      <c r="B262" s="2">
        <v>45919</v>
      </c>
      <c r="C262" t="s">
        <v>19</v>
      </c>
      <c r="D262" t="s">
        <v>20</v>
      </c>
      <c r="E262">
        <v>1</v>
      </c>
      <c r="F262" s="3">
        <v>53499</v>
      </c>
      <c r="G262" s="3">
        <v>53499</v>
      </c>
      <c r="H262" t="s">
        <v>21</v>
      </c>
      <c r="I262" t="s">
        <v>22</v>
      </c>
      <c r="J262" t="s">
        <v>23</v>
      </c>
    </row>
    <row r="263" spans="1:10" x14ac:dyDescent="0.3">
      <c r="A263">
        <v>1262</v>
      </c>
      <c r="B263" s="2">
        <v>45920</v>
      </c>
      <c r="C263" t="s">
        <v>24</v>
      </c>
      <c r="D263" t="s">
        <v>20</v>
      </c>
      <c r="E263">
        <v>1</v>
      </c>
      <c r="F263" s="3">
        <v>3910</v>
      </c>
      <c r="G263" s="3">
        <v>3910</v>
      </c>
      <c r="H263" t="s">
        <v>41</v>
      </c>
      <c r="I263" t="s">
        <v>22</v>
      </c>
      <c r="J263" t="s">
        <v>27</v>
      </c>
    </row>
    <row r="264" spans="1:10" x14ac:dyDescent="0.3">
      <c r="A264">
        <v>1263</v>
      </c>
      <c r="B264" s="2">
        <v>45921</v>
      </c>
      <c r="C264" t="s">
        <v>28</v>
      </c>
      <c r="D264" t="s">
        <v>29</v>
      </c>
      <c r="E264">
        <v>1</v>
      </c>
      <c r="F264" s="3">
        <v>3590</v>
      </c>
      <c r="G264" s="3">
        <v>3590</v>
      </c>
      <c r="H264" t="s">
        <v>39</v>
      </c>
      <c r="I264" t="s">
        <v>35</v>
      </c>
      <c r="J264" t="s">
        <v>23</v>
      </c>
    </row>
    <row r="265" spans="1:10" x14ac:dyDescent="0.3">
      <c r="A265">
        <v>1264</v>
      </c>
      <c r="B265" s="2">
        <v>45922</v>
      </c>
      <c r="C265" t="s">
        <v>30</v>
      </c>
      <c r="D265" t="s">
        <v>31</v>
      </c>
      <c r="E265">
        <v>5</v>
      </c>
      <c r="F265" s="3">
        <v>4354</v>
      </c>
      <c r="G265" s="3">
        <v>21770</v>
      </c>
      <c r="H265" t="s">
        <v>41</v>
      </c>
      <c r="I265" t="s">
        <v>35</v>
      </c>
      <c r="J265" t="s">
        <v>27</v>
      </c>
    </row>
    <row r="266" spans="1:10" x14ac:dyDescent="0.3">
      <c r="A266">
        <v>1265</v>
      </c>
      <c r="B266" s="2">
        <v>45923</v>
      </c>
      <c r="C266" t="s">
        <v>33</v>
      </c>
      <c r="D266" t="s">
        <v>31</v>
      </c>
      <c r="E266">
        <v>1</v>
      </c>
      <c r="F266" s="3">
        <v>878</v>
      </c>
      <c r="G266" s="3">
        <v>878</v>
      </c>
      <c r="H266" t="s">
        <v>21</v>
      </c>
      <c r="I266" t="s">
        <v>22</v>
      </c>
      <c r="J266" t="s">
        <v>23</v>
      </c>
    </row>
    <row r="267" spans="1:10" x14ac:dyDescent="0.3">
      <c r="A267">
        <v>1266</v>
      </c>
      <c r="B267" s="2">
        <v>45924</v>
      </c>
      <c r="C267" t="s">
        <v>34</v>
      </c>
      <c r="D267" t="s">
        <v>20</v>
      </c>
      <c r="E267">
        <v>1</v>
      </c>
      <c r="F267" s="3">
        <v>28657</v>
      </c>
      <c r="G267" s="3">
        <v>28657</v>
      </c>
      <c r="H267" t="s">
        <v>44</v>
      </c>
      <c r="I267" t="s">
        <v>35</v>
      </c>
      <c r="J267" t="s">
        <v>36</v>
      </c>
    </row>
    <row r="268" spans="1:10" x14ac:dyDescent="0.3">
      <c r="A268">
        <v>1267</v>
      </c>
      <c r="B268" s="2">
        <v>45925</v>
      </c>
      <c r="C268" t="s">
        <v>37</v>
      </c>
      <c r="D268" t="s">
        <v>38</v>
      </c>
      <c r="E268">
        <v>1</v>
      </c>
      <c r="F268" s="3">
        <v>394</v>
      </c>
      <c r="G268" s="3">
        <v>394</v>
      </c>
      <c r="H268" t="s">
        <v>25</v>
      </c>
      <c r="I268" t="s">
        <v>22</v>
      </c>
      <c r="J268" t="s">
        <v>36</v>
      </c>
    </row>
    <row r="269" spans="1:10" x14ac:dyDescent="0.3">
      <c r="A269">
        <v>1268</v>
      </c>
      <c r="B269" s="2">
        <v>45926</v>
      </c>
      <c r="C269" t="s">
        <v>40</v>
      </c>
      <c r="D269" t="s">
        <v>29</v>
      </c>
      <c r="E269">
        <v>3</v>
      </c>
      <c r="F269" s="3">
        <v>1554</v>
      </c>
      <c r="G269" s="3">
        <v>4662</v>
      </c>
      <c r="H269" t="s">
        <v>39</v>
      </c>
      <c r="I269" t="s">
        <v>22</v>
      </c>
      <c r="J269" t="s">
        <v>27</v>
      </c>
    </row>
    <row r="270" spans="1:10" x14ac:dyDescent="0.3">
      <c r="A270">
        <v>1269</v>
      </c>
      <c r="B270" s="2">
        <v>45927</v>
      </c>
      <c r="C270" t="s">
        <v>42</v>
      </c>
      <c r="D270" t="s">
        <v>20</v>
      </c>
      <c r="E270">
        <v>1</v>
      </c>
      <c r="F270" s="3">
        <v>4066</v>
      </c>
      <c r="G270" s="3">
        <v>4066</v>
      </c>
      <c r="H270" t="s">
        <v>41</v>
      </c>
      <c r="I270" t="s">
        <v>35</v>
      </c>
      <c r="J270" t="s">
        <v>27</v>
      </c>
    </row>
    <row r="271" spans="1:10" x14ac:dyDescent="0.3">
      <c r="A271">
        <v>1270</v>
      </c>
      <c r="B271" s="2">
        <v>45928</v>
      </c>
      <c r="C271" t="s">
        <v>43</v>
      </c>
      <c r="D271" t="s">
        <v>31</v>
      </c>
      <c r="E271">
        <v>5</v>
      </c>
      <c r="F271" s="3">
        <v>210</v>
      </c>
      <c r="G271" s="3">
        <v>1050</v>
      </c>
      <c r="H271" t="s">
        <v>25</v>
      </c>
      <c r="I271" t="s">
        <v>26</v>
      </c>
      <c r="J271" t="s">
        <v>27</v>
      </c>
    </row>
    <row r="272" spans="1:10" x14ac:dyDescent="0.3">
      <c r="A272">
        <v>1271</v>
      </c>
      <c r="B272" s="2">
        <v>45929</v>
      </c>
      <c r="C272" t="s">
        <v>19</v>
      </c>
      <c r="D272" t="s">
        <v>20</v>
      </c>
      <c r="E272">
        <v>1</v>
      </c>
      <c r="F272" s="3">
        <v>40792</v>
      </c>
      <c r="G272" s="3">
        <v>40792</v>
      </c>
      <c r="H272" t="s">
        <v>41</v>
      </c>
      <c r="I272" t="s">
        <v>35</v>
      </c>
      <c r="J272" t="s">
        <v>23</v>
      </c>
    </row>
    <row r="273" spans="1:10" x14ac:dyDescent="0.3">
      <c r="A273">
        <v>1272</v>
      </c>
      <c r="B273" s="2">
        <v>45930</v>
      </c>
      <c r="C273" t="s">
        <v>24</v>
      </c>
      <c r="D273" t="s">
        <v>20</v>
      </c>
      <c r="E273">
        <v>2</v>
      </c>
      <c r="F273" s="3">
        <v>3380</v>
      </c>
      <c r="G273" s="3">
        <v>6760</v>
      </c>
      <c r="H273" t="s">
        <v>25</v>
      </c>
      <c r="I273" t="s">
        <v>26</v>
      </c>
      <c r="J273" t="s">
        <v>23</v>
      </c>
    </row>
    <row r="274" spans="1:10" x14ac:dyDescent="0.3">
      <c r="A274">
        <v>1273</v>
      </c>
      <c r="B274" s="2">
        <v>45931</v>
      </c>
      <c r="C274" t="s">
        <v>28</v>
      </c>
      <c r="D274" t="s">
        <v>29</v>
      </c>
      <c r="E274">
        <v>2</v>
      </c>
      <c r="F274" s="3">
        <v>1061</v>
      </c>
      <c r="G274" s="3">
        <v>2122</v>
      </c>
      <c r="H274" t="s">
        <v>39</v>
      </c>
      <c r="I274" t="s">
        <v>22</v>
      </c>
      <c r="J274" t="s">
        <v>23</v>
      </c>
    </row>
    <row r="275" spans="1:10" x14ac:dyDescent="0.3">
      <c r="A275">
        <v>1274</v>
      </c>
      <c r="B275" s="2">
        <v>45932</v>
      </c>
      <c r="C275" t="s">
        <v>30</v>
      </c>
      <c r="D275" t="s">
        <v>31</v>
      </c>
      <c r="E275">
        <v>5</v>
      </c>
      <c r="F275" s="3">
        <v>9610</v>
      </c>
      <c r="G275" s="3">
        <v>48050</v>
      </c>
      <c r="H275" t="s">
        <v>39</v>
      </c>
      <c r="I275" t="s">
        <v>35</v>
      </c>
      <c r="J275" t="s">
        <v>27</v>
      </c>
    </row>
    <row r="276" spans="1:10" x14ac:dyDescent="0.3">
      <c r="A276">
        <v>1275</v>
      </c>
      <c r="B276" s="2">
        <v>45933</v>
      </c>
      <c r="C276" t="s">
        <v>33</v>
      </c>
      <c r="D276" t="s">
        <v>31</v>
      </c>
      <c r="E276">
        <v>1</v>
      </c>
      <c r="F276" s="3">
        <v>901</v>
      </c>
      <c r="G276" s="3">
        <v>901</v>
      </c>
      <c r="H276" t="s">
        <v>25</v>
      </c>
      <c r="I276" t="s">
        <v>35</v>
      </c>
      <c r="J276" t="s">
        <v>27</v>
      </c>
    </row>
    <row r="277" spans="1:10" x14ac:dyDescent="0.3">
      <c r="A277">
        <v>1276</v>
      </c>
      <c r="B277" s="2">
        <v>45934</v>
      </c>
      <c r="C277" t="s">
        <v>34</v>
      </c>
      <c r="D277" t="s">
        <v>20</v>
      </c>
      <c r="E277">
        <v>2</v>
      </c>
      <c r="F277" s="3">
        <v>18752</v>
      </c>
      <c r="G277" s="3">
        <v>37504</v>
      </c>
      <c r="H277" t="s">
        <v>32</v>
      </c>
      <c r="I277" t="s">
        <v>35</v>
      </c>
      <c r="J277" t="s">
        <v>23</v>
      </c>
    </row>
    <row r="278" spans="1:10" x14ac:dyDescent="0.3">
      <c r="A278">
        <v>1277</v>
      </c>
      <c r="B278" s="2">
        <v>45935</v>
      </c>
      <c r="C278" t="s">
        <v>37</v>
      </c>
      <c r="D278" t="s">
        <v>38</v>
      </c>
      <c r="E278">
        <v>1</v>
      </c>
      <c r="F278" s="3">
        <v>129</v>
      </c>
      <c r="G278" s="3">
        <v>129</v>
      </c>
      <c r="H278" t="s">
        <v>25</v>
      </c>
      <c r="I278" t="s">
        <v>22</v>
      </c>
      <c r="J278" t="s">
        <v>23</v>
      </c>
    </row>
    <row r="279" spans="1:10" x14ac:dyDescent="0.3">
      <c r="A279">
        <v>1278</v>
      </c>
      <c r="B279" s="2">
        <v>45936</v>
      </c>
      <c r="C279" t="s">
        <v>40</v>
      </c>
      <c r="D279" t="s">
        <v>29</v>
      </c>
      <c r="E279">
        <v>1</v>
      </c>
      <c r="F279" s="3">
        <v>828</v>
      </c>
      <c r="G279" s="3">
        <v>828</v>
      </c>
      <c r="H279" t="s">
        <v>39</v>
      </c>
      <c r="I279" t="s">
        <v>22</v>
      </c>
      <c r="J279" t="s">
        <v>27</v>
      </c>
    </row>
    <row r="280" spans="1:10" x14ac:dyDescent="0.3">
      <c r="A280">
        <v>1279</v>
      </c>
      <c r="B280" s="2">
        <v>45937</v>
      </c>
      <c r="C280" t="s">
        <v>42</v>
      </c>
      <c r="D280" t="s">
        <v>20</v>
      </c>
      <c r="E280">
        <v>2</v>
      </c>
      <c r="F280" s="3">
        <v>4999</v>
      </c>
      <c r="G280" s="3">
        <v>9998</v>
      </c>
      <c r="H280" t="s">
        <v>41</v>
      </c>
      <c r="I280" t="s">
        <v>26</v>
      </c>
      <c r="J280" t="s">
        <v>27</v>
      </c>
    </row>
    <row r="281" spans="1:10" x14ac:dyDescent="0.3">
      <c r="A281">
        <v>1280</v>
      </c>
      <c r="B281" s="2">
        <v>45938</v>
      </c>
      <c r="C281" t="s">
        <v>43</v>
      </c>
      <c r="D281" t="s">
        <v>31</v>
      </c>
      <c r="E281">
        <v>4</v>
      </c>
      <c r="F281" s="3">
        <v>677</v>
      </c>
      <c r="G281" s="3">
        <v>2708</v>
      </c>
      <c r="H281" t="s">
        <v>32</v>
      </c>
      <c r="I281" t="s">
        <v>26</v>
      </c>
      <c r="J281" t="s">
        <v>23</v>
      </c>
    </row>
    <row r="282" spans="1:10" x14ac:dyDescent="0.3">
      <c r="A282">
        <v>1281</v>
      </c>
      <c r="B282" s="2">
        <v>45939</v>
      </c>
      <c r="C282" t="s">
        <v>19</v>
      </c>
      <c r="D282" t="s">
        <v>20</v>
      </c>
      <c r="E282">
        <v>1</v>
      </c>
      <c r="F282" s="3">
        <v>47291</v>
      </c>
      <c r="G282" s="3">
        <v>47291</v>
      </c>
      <c r="H282" t="s">
        <v>39</v>
      </c>
      <c r="I282" t="s">
        <v>35</v>
      </c>
      <c r="J282" t="s">
        <v>23</v>
      </c>
    </row>
    <row r="283" spans="1:10" x14ac:dyDescent="0.3">
      <c r="A283">
        <v>1282</v>
      </c>
      <c r="B283" s="2">
        <v>45940</v>
      </c>
      <c r="C283" t="s">
        <v>24</v>
      </c>
      <c r="D283" t="s">
        <v>20</v>
      </c>
      <c r="E283">
        <v>3</v>
      </c>
      <c r="F283" s="3">
        <v>2127</v>
      </c>
      <c r="G283" s="3">
        <v>6381</v>
      </c>
      <c r="H283" t="s">
        <v>32</v>
      </c>
      <c r="I283" t="s">
        <v>35</v>
      </c>
      <c r="J283" t="s">
        <v>23</v>
      </c>
    </row>
    <row r="284" spans="1:10" x14ac:dyDescent="0.3">
      <c r="A284">
        <v>1283</v>
      </c>
      <c r="B284" s="2">
        <v>45941</v>
      </c>
      <c r="C284" t="s">
        <v>28</v>
      </c>
      <c r="D284" t="s">
        <v>29</v>
      </c>
      <c r="E284">
        <v>3</v>
      </c>
      <c r="F284" s="3">
        <v>2869</v>
      </c>
      <c r="G284" s="3">
        <v>8607</v>
      </c>
      <c r="H284" t="s">
        <v>25</v>
      </c>
      <c r="I284" t="s">
        <v>26</v>
      </c>
      <c r="J284" t="s">
        <v>23</v>
      </c>
    </row>
    <row r="285" spans="1:10" x14ac:dyDescent="0.3">
      <c r="A285">
        <v>1284</v>
      </c>
      <c r="B285" s="2">
        <v>45942</v>
      </c>
      <c r="C285" t="s">
        <v>30</v>
      </c>
      <c r="D285" t="s">
        <v>31</v>
      </c>
      <c r="E285">
        <v>3</v>
      </c>
      <c r="F285" s="3">
        <v>7361</v>
      </c>
      <c r="G285" s="3">
        <v>22083</v>
      </c>
      <c r="H285" t="s">
        <v>41</v>
      </c>
      <c r="I285" t="s">
        <v>35</v>
      </c>
      <c r="J285" t="s">
        <v>36</v>
      </c>
    </row>
    <row r="286" spans="1:10" x14ac:dyDescent="0.3">
      <c r="A286">
        <v>1285</v>
      </c>
      <c r="B286" s="2">
        <v>45943</v>
      </c>
      <c r="C286" t="s">
        <v>33</v>
      </c>
      <c r="D286" t="s">
        <v>31</v>
      </c>
      <c r="E286">
        <v>5</v>
      </c>
      <c r="F286" s="3">
        <v>828</v>
      </c>
      <c r="G286" s="3">
        <v>4140</v>
      </c>
      <c r="H286" t="s">
        <v>25</v>
      </c>
      <c r="I286" t="s">
        <v>26</v>
      </c>
      <c r="J286" t="s">
        <v>27</v>
      </c>
    </row>
    <row r="287" spans="1:10" x14ac:dyDescent="0.3">
      <c r="A287">
        <v>1286</v>
      </c>
      <c r="B287" s="2">
        <v>45944</v>
      </c>
      <c r="C287" t="s">
        <v>34</v>
      </c>
      <c r="D287" t="s">
        <v>20</v>
      </c>
      <c r="E287">
        <v>1</v>
      </c>
      <c r="F287" s="3">
        <v>16337</v>
      </c>
      <c r="G287" s="3">
        <v>16337</v>
      </c>
      <c r="H287" t="s">
        <v>39</v>
      </c>
      <c r="I287" t="s">
        <v>26</v>
      </c>
      <c r="J287" t="s">
        <v>27</v>
      </c>
    </row>
    <row r="288" spans="1:10" x14ac:dyDescent="0.3">
      <c r="A288">
        <v>1287</v>
      </c>
      <c r="B288" s="2">
        <v>45945</v>
      </c>
      <c r="C288" t="s">
        <v>37</v>
      </c>
      <c r="D288" t="s">
        <v>38</v>
      </c>
      <c r="E288">
        <v>3</v>
      </c>
      <c r="F288" s="3">
        <v>295</v>
      </c>
      <c r="G288" s="3">
        <v>885</v>
      </c>
      <c r="H288" t="s">
        <v>21</v>
      </c>
      <c r="I288" t="s">
        <v>22</v>
      </c>
      <c r="J288" t="s">
        <v>23</v>
      </c>
    </row>
    <row r="289" spans="1:10" x14ac:dyDescent="0.3">
      <c r="A289">
        <v>1288</v>
      </c>
      <c r="B289" s="2">
        <v>45946</v>
      </c>
      <c r="C289" t="s">
        <v>40</v>
      </c>
      <c r="D289" t="s">
        <v>29</v>
      </c>
      <c r="E289">
        <v>2</v>
      </c>
      <c r="F289" s="3">
        <v>1486</v>
      </c>
      <c r="G289" s="3">
        <v>2972</v>
      </c>
      <c r="H289" t="s">
        <v>44</v>
      </c>
      <c r="I289" t="s">
        <v>22</v>
      </c>
      <c r="J289" t="s">
        <v>27</v>
      </c>
    </row>
    <row r="290" spans="1:10" x14ac:dyDescent="0.3">
      <c r="A290">
        <v>1289</v>
      </c>
      <c r="B290" s="2">
        <v>45947</v>
      </c>
      <c r="C290" t="s">
        <v>42</v>
      </c>
      <c r="D290" t="s">
        <v>20</v>
      </c>
      <c r="E290">
        <v>2</v>
      </c>
      <c r="F290" s="3">
        <v>12872</v>
      </c>
      <c r="G290" s="3">
        <v>25744</v>
      </c>
      <c r="H290" t="s">
        <v>44</v>
      </c>
      <c r="I290" t="s">
        <v>22</v>
      </c>
      <c r="J290" t="s">
        <v>36</v>
      </c>
    </row>
    <row r="291" spans="1:10" x14ac:dyDescent="0.3">
      <c r="A291">
        <v>1290</v>
      </c>
      <c r="B291" s="2">
        <v>45948</v>
      </c>
      <c r="C291" t="s">
        <v>43</v>
      </c>
      <c r="D291" t="s">
        <v>31</v>
      </c>
      <c r="E291">
        <v>3</v>
      </c>
      <c r="F291" s="3">
        <v>740</v>
      </c>
      <c r="G291" s="3">
        <v>2220</v>
      </c>
      <c r="H291" t="s">
        <v>32</v>
      </c>
      <c r="I291" t="s">
        <v>26</v>
      </c>
      <c r="J291" t="s">
        <v>27</v>
      </c>
    </row>
    <row r="292" spans="1:10" x14ac:dyDescent="0.3">
      <c r="A292">
        <v>1291</v>
      </c>
      <c r="B292" s="2">
        <v>45949</v>
      </c>
      <c r="C292" t="s">
        <v>19</v>
      </c>
      <c r="D292" t="s">
        <v>20</v>
      </c>
      <c r="E292">
        <v>1</v>
      </c>
      <c r="F292" s="3">
        <v>69296</v>
      </c>
      <c r="G292" s="3">
        <v>69296</v>
      </c>
      <c r="H292" t="s">
        <v>44</v>
      </c>
      <c r="I292" t="s">
        <v>26</v>
      </c>
      <c r="J292" t="s">
        <v>23</v>
      </c>
    </row>
    <row r="293" spans="1:10" x14ac:dyDescent="0.3">
      <c r="A293">
        <v>1292</v>
      </c>
      <c r="B293" s="2">
        <v>45950</v>
      </c>
      <c r="C293" t="s">
        <v>24</v>
      </c>
      <c r="D293" t="s">
        <v>20</v>
      </c>
      <c r="E293">
        <v>1</v>
      </c>
      <c r="F293" s="3">
        <v>3960</v>
      </c>
      <c r="G293" s="3">
        <v>3960</v>
      </c>
      <c r="H293" t="s">
        <v>41</v>
      </c>
      <c r="I293" t="s">
        <v>22</v>
      </c>
      <c r="J293" t="s">
        <v>27</v>
      </c>
    </row>
    <row r="294" spans="1:10" x14ac:dyDescent="0.3">
      <c r="A294">
        <v>1293</v>
      </c>
      <c r="B294" s="2">
        <v>45951</v>
      </c>
      <c r="C294" t="s">
        <v>28</v>
      </c>
      <c r="D294" t="s">
        <v>29</v>
      </c>
      <c r="E294">
        <v>3</v>
      </c>
      <c r="F294" s="3">
        <v>4486</v>
      </c>
      <c r="G294" s="3">
        <v>13458</v>
      </c>
      <c r="H294" t="s">
        <v>44</v>
      </c>
      <c r="I294" t="s">
        <v>22</v>
      </c>
      <c r="J294" t="s">
        <v>27</v>
      </c>
    </row>
    <row r="295" spans="1:10" x14ac:dyDescent="0.3">
      <c r="A295">
        <v>1294</v>
      </c>
      <c r="B295" s="2">
        <v>45952</v>
      </c>
      <c r="C295" t="s">
        <v>30</v>
      </c>
      <c r="D295" t="s">
        <v>31</v>
      </c>
      <c r="E295">
        <v>1</v>
      </c>
      <c r="F295" s="3">
        <v>18146</v>
      </c>
      <c r="G295" s="3">
        <v>18146</v>
      </c>
      <c r="H295" t="s">
        <v>44</v>
      </c>
      <c r="I295" t="s">
        <v>22</v>
      </c>
      <c r="J295" t="s">
        <v>27</v>
      </c>
    </row>
    <row r="296" spans="1:10" x14ac:dyDescent="0.3">
      <c r="A296">
        <v>1295</v>
      </c>
      <c r="B296" s="2">
        <v>45953</v>
      </c>
      <c r="C296" t="s">
        <v>33</v>
      </c>
      <c r="D296" t="s">
        <v>31</v>
      </c>
      <c r="E296">
        <v>1</v>
      </c>
      <c r="F296" s="3">
        <v>274</v>
      </c>
      <c r="G296" s="3">
        <v>274</v>
      </c>
      <c r="H296" t="s">
        <v>25</v>
      </c>
      <c r="I296" t="s">
        <v>26</v>
      </c>
      <c r="J296" t="s">
        <v>36</v>
      </c>
    </row>
    <row r="297" spans="1:10" x14ac:dyDescent="0.3">
      <c r="A297">
        <v>1296</v>
      </c>
      <c r="B297" s="2">
        <v>45954</v>
      </c>
      <c r="C297" t="s">
        <v>34</v>
      </c>
      <c r="D297" t="s">
        <v>20</v>
      </c>
      <c r="E297">
        <v>1</v>
      </c>
      <c r="F297" s="3">
        <v>34548</v>
      </c>
      <c r="G297" s="3">
        <v>34548</v>
      </c>
      <c r="H297" t="s">
        <v>25</v>
      </c>
      <c r="I297" t="s">
        <v>35</v>
      </c>
      <c r="J297" t="s">
        <v>27</v>
      </c>
    </row>
    <row r="298" spans="1:10" x14ac:dyDescent="0.3">
      <c r="A298">
        <v>1297</v>
      </c>
      <c r="B298" s="2">
        <v>45955</v>
      </c>
      <c r="C298" t="s">
        <v>37</v>
      </c>
      <c r="D298" t="s">
        <v>38</v>
      </c>
      <c r="E298">
        <v>1</v>
      </c>
      <c r="F298" s="3">
        <v>925</v>
      </c>
      <c r="G298" s="3">
        <v>925</v>
      </c>
      <c r="H298" t="s">
        <v>41</v>
      </c>
      <c r="I298" t="s">
        <v>35</v>
      </c>
      <c r="J298" t="s">
        <v>36</v>
      </c>
    </row>
    <row r="299" spans="1:10" x14ac:dyDescent="0.3">
      <c r="A299">
        <v>1298</v>
      </c>
      <c r="B299" s="2">
        <v>45956</v>
      </c>
      <c r="C299" t="s">
        <v>40</v>
      </c>
      <c r="D299" t="s">
        <v>29</v>
      </c>
      <c r="E299">
        <v>4</v>
      </c>
      <c r="F299" s="3">
        <v>899</v>
      </c>
      <c r="G299" s="3">
        <v>3596</v>
      </c>
      <c r="H299" t="s">
        <v>44</v>
      </c>
      <c r="I299" t="s">
        <v>26</v>
      </c>
      <c r="J299" t="s">
        <v>36</v>
      </c>
    </row>
    <row r="300" spans="1:10" x14ac:dyDescent="0.3">
      <c r="A300">
        <v>1299</v>
      </c>
      <c r="B300" s="2">
        <v>45957</v>
      </c>
      <c r="C300" t="s">
        <v>42</v>
      </c>
      <c r="D300" t="s">
        <v>20</v>
      </c>
      <c r="E300">
        <v>2</v>
      </c>
      <c r="F300" s="3">
        <v>11888</v>
      </c>
      <c r="G300" s="3">
        <v>23776</v>
      </c>
      <c r="H300" t="s">
        <v>39</v>
      </c>
      <c r="I300" t="s">
        <v>26</v>
      </c>
      <c r="J300" t="s">
        <v>23</v>
      </c>
    </row>
    <row r="301" spans="1:10" x14ac:dyDescent="0.3">
      <c r="A301">
        <v>1300</v>
      </c>
      <c r="B301" s="2">
        <v>45958</v>
      </c>
      <c r="C301" t="s">
        <v>43</v>
      </c>
      <c r="D301" t="s">
        <v>31</v>
      </c>
      <c r="E301">
        <v>3</v>
      </c>
      <c r="F301" s="3">
        <v>551</v>
      </c>
      <c r="G301" s="3">
        <v>1653</v>
      </c>
      <c r="H301" t="s">
        <v>39</v>
      </c>
      <c r="I301" t="s">
        <v>35</v>
      </c>
      <c r="J301" t="s">
        <v>23</v>
      </c>
    </row>
    <row r="302" spans="1:10" x14ac:dyDescent="0.3">
      <c r="A302">
        <v>1301</v>
      </c>
      <c r="B302" s="2">
        <v>45959</v>
      </c>
      <c r="C302" t="s">
        <v>19</v>
      </c>
      <c r="D302" t="s">
        <v>20</v>
      </c>
      <c r="E302">
        <v>1</v>
      </c>
      <c r="F302" s="3">
        <v>57645</v>
      </c>
      <c r="G302" s="3">
        <v>57645</v>
      </c>
      <c r="H302" t="s">
        <v>25</v>
      </c>
      <c r="I302" t="s">
        <v>26</v>
      </c>
      <c r="J302" t="s">
        <v>36</v>
      </c>
    </row>
    <row r="303" spans="1:10" x14ac:dyDescent="0.3">
      <c r="A303">
        <v>1302</v>
      </c>
      <c r="B303" s="2">
        <v>45960</v>
      </c>
      <c r="C303" t="s">
        <v>24</v>
      </c>
      <c r="D303" t="s">
        <v>20</v>
      </c>
      <c r="E303">
        <v>2</v>
      </c>
      <c r="F303" s="3">
        <v>3967</v>
      </c>
      <c r="G303" s="3">
        <v>7934</v>
      </c>
      <c r="H303" t="s">
        <v>25</v>
      </c>
      <c r="I303" t="s">
        <v>22</v>
      </c>
      <c r="J303" t="s">
        <v>23</v>
      </c>
    </row>
    <row r="304" spans="1:10" x14ac:dyDescent="0.3">
      <c r="A304">
        <v>1303</v>
      </c>
      <c r="B304" s="2">
        <v>45961</v>
      </c>
      <c r="C304" t="s">
        <v>28</v>
      </c>
      <c r="D304" t="s">
        <v>29</v>
      </c>
      <c r="E304">
        <v>1</v>
      </c>
      <c r="F304" s="3">
        <v>4593</v>
      </c>
      <c r="G304" s="3">
        <v>4593</v>
      </c>
      <c r="H304" t="s">
        <v>25</v>
      </c>
      <c r="I304" t="s">
        <v>22</v>
      </c>
      <c r="J304" t="s">
        <v>27</v>
      </c>
    </row>
    <row r="305" spans="1:10" x14ac:dyDescent="0.3">
      <c r="A305">
        <v>1304</v>
      </c>
      <c r="B305" s="2">
        <v>45962</v>
      </c>
      <c r="C305" t="s">
        <v>30</v>
      </c>
      <c r="D305" t="s">
        <v>31</v>
      </c>
      <c r="E305">
        <v>4</v>
      </c>
      <c r="F305" s="3">
        <v>5728</v>
      </c>
      <c r="G305" s="3">
        <v>22912</v>
      </c>
      <c r="H305" t="s">
        <v>25</v>
      </c>
      <c r="I305" t="s">
        <v>26</v>
      </c>
      <c r="J305" t="s">
        <v>36</v>
      </c>
    </row>
    <row r="306" spans="1:10" x14ac:dyDescent="0.3">
      <c r="A306">
        <v>1305</v>
      </c>
      <c r="B306" s="2">
        <v>45963</v>
      </c>
      <c r="C306" t="s">
        <v>33</v>
      </c>
      <c r="D306" t="s">
        <v>31</v>
      </c>
      <c r="E306">
        <v>2</v>
      </c>
      <c r="F306" s="3">
        <v>498</v>
      </c>
      <c r="G306" s="3">
        <v>996</v>
      </c>
      <c r="H306" t="s">
        <v>44</v>
      </c>
      <c r="I306" t="s">
        <v>26</v>
      </c>
      <c r="J306" t="s">
        <v>36</v>
      </c>
    </row>
    <row r="307" spans="1:10" x14ac:dyDescent="0.3">
      <c r="A307">
        <v>1306</v>
      </c>
      <c r="B307" s="2">
        <v>45964</v>
      </c>
      <c r="C307" t="s">
        <v>34</v>
      </c>
      <c r="D307" t="s">
        <v>20</v>
      </c>
      <c r="E307">
        <v>2</v>
      </c>
      <c r="F307" s="3">
        <v>39710</v>
      </c>
      <c r="G307" s="3">
        <v>79420</v>
      </c>
      <c r="H307" t="s">
        <v>41</v>
      </c>
      <c r="I307" t="s">
        <v>26</v>
      </c>
      <c r="J307" t="s">
        <v>27</v>
      </c>
    </row>
    <row r="308" spans="1:10" x14ac:dyDescent="0.3">
      <c r="A308">
        <v>1307</v>
      </c>
      <c r="B308" s="2">
        <v>45965</v>
      </c>
      <c r="C308" t="s">
        <v>37</v>
      </c>
      <c r="D308" t="s">
        <v>38</v>
      </c>
      <c r="E308">
        <v>3</v>
      </c>
      <c r="F308" s="3">
        <v>197</v>
      </c>
      <c r="G308" s="3">
        <v>591</v>
      </c>
      <c r="H308" t="s">
        <v>25</v>
      </c>
      <c r="I308" t="s">
        <v>22</v>
      </c>
      <c r="J308" t="s">
        <v>23</v>
      </c>
    </row>
    <row r="309" spans="1:10" x14ac:dyDescent="0.3">
      <c r="A309">
        <v>1308</v>
      </c>
      <c r="B309" s="2">
        <v>45966</v>
      </c>
      <c r="C309" t="s">
        <v>40</v>
      </c>
      <c r="D309" t="s">
        <v>29</v>
      </c>
      <c r="E309">
        <v>2</v>
      </c>
      <c r="F309" s="3">
        <v>1815</v>
      </c>
      <c r="G309" s="3">
        <v>3630</v>
      </c>
      <c r="H309" t="s">
        <v>39</v>
      </c>
      <c r="I309" t="s">
        <v>26</v>
      </c>
      <c r="J309" t="s">
        <v>27</v>
      </c>
    </row>
    <row r="310" spans="1:10" x14ac:dyDescent="0.3">
      <c r="A310">
        <v>1309</v>
      </c>
      <c r="B310" s="2">
        <v>45967</v>
      </c>
      <c r="C310" t="s">
        <v>42</v>
      </c>
      <c r="D310" t="s">
        <v>20</v>
      </c>
      <c r="E310">
        <v>2</v>
      </c>
      <c r="F310" s="3">
        <v>3949</v>
      </c>
      <c r="G310" s="3">
        <v>7898</v>
      </c>
      <c r="H310" t="s">
        <v>21</v>
      </c>
      <c r="I310" t="s">
        <v>22</v>
      </c>
      <c r="J310" t="s">
        <v>27</v>
      </c>
    </row>
    <row r="311" spans="1:10" x14ac:dyDescent="0.3">
      <c r="A311">
        <v>1310</v>
      </c>
      <c r="B311" s="2">
        <v>45968</v>
      </c>
      <c r="C311" t="s">
        <v>43</v>
      </c>
      <c r="D311" t="s">
        <v>31</v>
      </c>
      <c r="E311">
        <v>1</v>
      </c>
      <c r="F311" s="3">
        <v>208</v>
      </c>
      <c r="G311" s="3">
        <v>208</v>
      </c>
      <c r="H311" t="s">
        <v>41</v>
      </c>
      <c r="I311" t="s">
        <v>26</v>
      </c>
      <c r="J311" t="s">
        <v>36</v>
      </c>
    </row>
    <row r="312" spans="1:10" x14ac:dyDescent="0.3">
      <c r="A312">
        <v>1311</v>
      </c>
      <c r="B312" s="2">
        <v>45969</v>
      </c>
      <c r="C312" t="s">
        <v>19</v>
      </c>
      <c r="D312" t="s">
        <v>20</v>
      </c>
      <c r="E312">
        <v>1</v>
      </c>
      <c r="F312" s="3">
        <v>50605</v>
      </c>
      <c r="G312" s="3">
        <v>50605</v>
      </c>
      <c r="H312" t="s">
        <v>41</v>
      </c>
      <c r="I312" t="s">
        <v>26</v>
      </c>
      <c r="J312" t="s">
        <v>36</v>
      </c>
    </row>
    <row r="313" spans="1:10" x14ac:dyDescent="0.3">
      <c r="A313">
        <v>1312</v>
      </c>
      <c r="B313" s="2">
        <v>45970</v>
      </c>
      <c r="C313" t="s">
        <v>24</v>
      </c>
      <c r="D313" t="s">
        <v>20</v>
      </c>
      <c r="E313">
        <v>3</v>
      </c>
      <c r="F313" s="3">
        <v>4319</v>
      </c>
      <c r="G313" s="3">
        <v>12957</v>
      </c>
      <c r="H313" t="s">
        <v>39</v>
      </c>
      <c r="I313" t="s">
        <v>26</v>
      </c>
      <c r="J313" t="s">
        <v>36</v>
      </c>
    </row>
    <row r="314" spans="1:10" x14ac:dyDescent="0.3">
      <c r="A314">
        <v>1313</v>
      </c>
      <c r="B314" s="2">
        <v>45971</v>
      </c>
      <c r="C314" t="s">
        <v>28</v>
      </c>
      <c r="D314" t="s">
        <v>29</v>
      </c>
      <c r="E314">
        <v>1</v>
      </c>
      <c r="F314" s="3">
        <v>3721</v>
      </c>
      <c r="G314" s="3">
        <v>3721</v>
      </c>
      <c r="H314" t="s">
        <v>25</v>
      </c>
      <c r="I314" t="s">
        <v>26</v>
      </c>
      <c r="J314" t="s">
        <v>23</v>
      </c>
    </row>
    <row r="315" spans="1:10" x14ac:dyDescent="0.3">
      <c r="A315">
        <v>1314</v>
      </c>
      <c r="B315" s="2">
        <v>45972</v>
      </c>
      <c r="C315" t="s">
        <v>30</v>
      </c>
      <c r="D315" t="s">
        <v>31</v>
      </c>
      <c r="E315">
        <v>2</v>
      </c>
      <c r="F315" s="3">
        <v>12930</v>
      </c>
      <c r="G315" s="3">
        <v>25860</v>
      </c>
      <c r="H315" t="s">
        <v>32</v>
      </c>
      <c r="I315" t="s">
        <v>22</v>
      </c>
      <c r="J315" t="s">
        <v>27</v>
      </c>
    </row>
    <row r="316" spans="1:10" x14ac:dyDescent="0.3">
      <c r="A316">
        <v>1315</v>
      </c>
      <c r="B316" s="2">
        <v>45973</v>
      </c>
      <c r="C316" t="s">
        <v>33</v>
      </c>
      <c r="D316" t="s">
        <v>31</v>
      </c>
      <c r="E316">
        <v>4</v>
      </c>
      <c r="F316" s="3">
        <v>707</v>
      </c>
      <c r="G316" s="3">
        <v>2828</v>
      </c>
      <c r="H316" t="s">
        <v>32</v>
      </c>
      <c r="I316" t="s">
        <v>35</v>
      </c>
      <c r="J316" t="s">
        <v>23</v>
      </c>
    </row>
    <row r="317" spans="1:10" x14ac:dyDescent="0.3">
      <c r="A317">
        <v>1316</v>
      </c>
      <c r="B317" s="2">
        <v>45974</v>
      </c>
      <c r="C317" t="s">
        <v>34</v>
      </c>
      <c r="D317" t="s">
        <v>20</v>
      </c>
      <c r="E317">
        <v>2</v>
      </c>
      <c r="F317" s="3">
        <v>36907</v>
      </c>
      <c r="G317" s="3">
        <v>73814</v>
      </c>
      <c r="H317" t="s">
        <v>39</v>
      </c>
      <c r="I317" t="s">
        <v>35</v>
      </c>
      <c r="J317" t="s">
        <v>23</v>
      </c>
    </row>
    <row r="318" spans="1:10" x14ac:dyDescent="0.3">
      <c r="A318">
        <v>1317</v>
      </c>
      <c r="B318" s="2">
        <v>45975</v>
      </c>
      <c r="C318" t="s">
        <v>37</v>
      </c>
      <c r="D318" t="s">
        <v>38</v>
      </c>
      <c r="E318">
        <v>1</v>
      </c>
      <c r="F318" s="3">
        <v>942</v>
      </c>
      <c r="G318" s="3">
        <v>942</v>
      </c>
      <c r="H318" t="s">
        <v>25</v>
      </c>
      <c r="I318" t="s">
        <v>26</v>
      </c>
      <c r="J318" t="s">
        <v>36</v>
      </c>
    </row>
    <row r="319" spans="1:10" x14ac:dyDescent="0.3">
      <c r="A319">
        <v>1318</v>
      </c>
      <c r="B319" s="2">
        <v>45976</v>
      </c>
      <c r="C319" t="s">
        <v>40</v>
      </c>
      <c r="D319" t="s">
        <v>29</v>
      </c>
      <c r="E319">
        <v>3</v>
      </c>
      <c r="F319" s="3">
        <v>826</v>
      </c>
      <c r="G319" s="3">
        <v>2478</v>
      </c>
      <c r="H319" t="s">
        <v>41</v>
      </c>
      <c r="I319" t="s">
        <v>22</v>
      </c>
      <c r="J319" t="s">
        <v>27</v>
      </c>
    </row>
    <row r="320" spans="1:10" x14ac:dyDescent="0.3">
      <c r="A320">
        <v>1319</v>
      </c>
      <c r="B320" s="2">
        <v>45977</v>
      </c>
      <c r="C320" t="s">
        <v>42</v>
      </c>
      <c r="D320" t="s">
        <v>20</v>
      </c>
      <c r="E320">
        <v>1</v>
      </c>
      <c r="F320" s="3">
        <v>3941</v>
      </c>
      <c r="G320" s="3">
        <v>3941</v>
      </c>
      <c r="H320" t="s">
        <v>39</v>
      </c>
      <c r="I320" t="s">
        <v>35</v>
      </c>
      <c r="J320" t="s">
        <v>23</v>
      </c>
    </row>
    <row r="321" spans="1:10" x14ac:dyDescent="0.3">
      <c r="A321">
        <v>1320</v>
      </c>
      <c r="B321" s="2">
        <v>45978</v>
      </c>
      <c r="C321" t="s">
        <v>43</v>
      </c>
      <c r="D321" t="s">
        <v>31</v>
      </c>
      <c r="E321">
        <v>2</v>
      </c>
      <c r="F321" s="3">
        <v>476</v>
      </c>
      <c r="G321" s="3">
        <v>952</v>
      </c>
      <c r="H321" t="s">
        <v>21</v>
      </c>
      <c r="I321" t="s">
        <v>26</v>
      </c>
      <c r="J321" t="s">
        <v>23</v>
      </c>
    </row>
    <row r="322" spans="1:10" x14ac:dyDescent="0.3">
      <c r="A322">
        <v>1321</v>
      </c>
      <c r="B322" s="2">
        <v>45979</v>
      </c>
      <c r="C322" t="s">
        <v>19</v>
      </c>
      <c r="D322" t="s">
        <v>20</v>
      </c>
      <c r="E322">
        <v>2</v>
      </c>
      <c r="F322" s="3">
        <v>41658</v>
      </c>
      <c r="G322" s="3">
        <v>83316</v>
      </c>
      <c r="H322" t="s">
        <v>32</v>
      </c>
      <c r="I322" t="s">
        <v>22</v>
      </c>
      <c r="J322" t="s">
        <v>36</v>
      </c>
    </row>
    <row r="323" spans="1:10" x14ac:dyDescent="0.3">
      <c r="A323">
        <v>1322</v>
      </c>
      <c r="B323" s="2">
        <v>45980</v>
      </c>
      <c r="C323" t="s">
        <v>24</v>
      </c>
      <c r="D323" t="s">
        <v>20</v>
      </c>
      <c r="E323">
        <v>1</v>
      </c>
      <c r="F323" s="3">
        <v>4084</v>
      </c>
      <c r="G323" s="3">
        <v>4084</v>
      </c>
      <c r="H323" t="s">
        <v>44</v>
      </c>
      <c r="I323" t="s">
        <v>35</v>
      </c>
      <c r="J323" t="s">
        <v>27</v>
      </c>
    </row>
    <row r="324" spans="1:10" x14ac:dyDescent="0.3">
      <c r="A324">
        <v>1323</v>
      </c>
      <c r="B324" s="2">
        <v>45981</v>
      </c>
      <c r="C324" t="s">
        <v>28</v>
      </c>
      <c r="D324" t="s">
        <v>29</v>
      </c>
      <c r="E324">
        <v>3</v>
      </c>
      <c r="F324" s="3">
        <v>3098</v>
      </c>
      <c r="G324" s="3">
        <v>9294</v>
      </c>
      <c r="H324" t="s">
        <v>32</v>
      </c>
      <c r="I324" t="s">
        <v>35</v>
      </c>
      <c r="J324" t="s">
        <v>27</v>
      </c>
    </row>
    <row r="325" spans="1:10" x14ac:dyDescent="0.3">
      <c r="A325">
        <v>1324</v>
      </c>
      <c r="B325" s="2">
        <v>45982</v>
      </c>
      <c r="C325" t="s">
        <v>30</v>
      </c>
      <c r="D325" t="s">
        <v>31</v>
      </c>
      <c r="E325">
        <v>5</v>
      </c>
      <c r="F325" s="3">
        <v>18226</v>
      </c>
      <c r="G325" s="3">
        <v>91130</v>
      </c>
      <c r="H325" t="s">
        <v>41</v>
      </c>
      <c r="I325" t="s">
        <v>22</v>
      </c>
      <c r="J325" t="s">
        <v>36</v>
      </c>
    </row>
    <row r="326" spans="1:10" x14ac:dyDescent="0.3">
      <c r="A326">
        <v>1325</v>
      </c>
      <c r="B326" s="2">
        <v>45983</v>
      </c>
      <c r="C326" t="s">
        <v>33</v>
      </c>
      <c r="D326" t="s">
        <v>31</v>
      </c>
      <c r="E326">
        <v>5</v>
      </c>
      <c r="F326" s="3">
        <v>298</v>
      </c>
      <c r="G326" s="3">
        <v>1490</v>
      </c>
      <c r="H326" t="s">
        <v>21</v>
      </c>
      <c r="I326" t="s">
        <v>35</v>
      </c>
      <c r="J326" t="s">
        <v>36</v>
      </c>
    </row>
    <row r="327" spans="1:10" x14ac:dyDescent="0.3">
      <c r="A327">
        <v>1326</v>
      </c>
      <c r="B327" s="2">
        <v>45984</v>
      </c>
      <c r="C327" t="s">
        <v>34</v>
      </c>
      <c r="D327" t="s">
        <v>20</v>
      </c>
      <c r="E327">
        <v>2</v>
      </c>
      <c r="F327" s="3">
        <v>12992</v>
      </c>
      <c r="G327" s="3">
        <v>25984</v>
      </c>
      <c r="H327" t="s">
        <v>39</v>
      </c>
      <c r="I327" t="s">
        <v>26</v>
      </c>
      <c r="J327" t="s">
        <v>36</v>
      </c>
    </row>
    <row r="328" spans="1:10" x14ac:dyDescent="0.3">
      <c r="A328">
        <v>1327</v>
      </c>
      <c r="B328" s="2">
        <v>45985</v>
      </c>
      <c r="C328" t="s">
        <v>37</v>
      </c>
      <c r="D328" t="s">
        <v>38</v>
      </c>
      <c r="E328">
        <v>5</v>
      </c>
      <c r="F328" s="3">
        <v>984</v>
      </c>
      <c r="G328" s="3">
        <v>4920</v>
      </c>
      <c r="H328" t="s">
        <v>25</v>
      </c>
      <c r="I328" t="s">
        <v>26</v>
      </c>
      <c r="J328" t="s">
        <v>36</v>
      </c>
    </row>
    <row r="329" spans="1:10" x14ac:dyDescent="0.3">
      <c r="A329">
        <v>1328</v>
      </c>
      <c r="B329" s="2">
        <v>45986</v>
      </c>
      <c r="C329" t="s">
        <v>40</v>
      </c>
      <c r="D329" t="s">
        <v>29</v>
      </c>
      <c r="E329">
        <v>5</v>
      </c>
      <c r="F329" s="3">
        <v>1432</v>
      </c>
      <c r="G329" s="3">
        <v>7160</v>
      </c>
      <c r="H329" t="s">
        <v>21</v>
      </c>
      <c r="I329" t="s">
        <v>22</v>
      </c>
      <c r="J329" t="s">
        <v>23</v>
      </c>
    </row>
    <row r="330" spans="1:10" x14ac:dyDescent="0.3">
      <c r="A330">
        <v>1329</v>
      </c>
      <c r="B330" s="2">
        <v>45987</v>
      </c>
      <c r="C330" t="s">
        <v>42</v>
      </c>
      <c r="D330" t="s">
        <v>20</v>
      </c>
      <c r="E330">
        <v>2</v>
      </c>
      <c r="F330" s="3">
        <v>12324</v>
      </c>
      <c r="G330" s="3">
        <v>24648</v>
      </c>
      <c r="H330" t="s">
        <v>39</v>
      </c>
      <c r="I330" t="s">
        <v>26</v>
      </c>
      <c r="J330" t="s">
        <v>36</v>
      </c>
    </row>
    <row r="331" spans="1:10" x14ac:dyDescent="0.3">
      <c r="A331">
        <v>1330</v>
      </c>
      <c r="B331" s="2">
        <v>45988</v>
      </c>
      <c r="C331" t="s">
        <v>43</v>
      </c>
      <c r="D331" t="s">
        <v>31</v>
      </c>
      <c r="E331">
        <v>4</v>
      </c>
      <c r="F331" s="3">
        <v>705</v>
      </c>
      <c r="G331" s="3">
        <v>2820</v>
      </c>
      <c r="H331" t="s">
        <v>44</v>
      </c>
      <c r="I331" t="s">
        <v>35</v>
      </c>
      <c r="J331" t="s">
        <v>36</v>
      </c>
    </row>
    <row r="332" spans="1:10" x14ac:dyDescent="0.3">
      <c r="A332">
        <v>1331</v>
      </c>
      <c r="B332" s="2">
        <v>45989</v>
      </c>
      <c r="C332" t="s">
        <v>19</v>
      </c>
      <c r="D332" t="s">
        <v>20</v>
      </c>
      <c r="E332">
        <v>2</v>
      </c>
      <c r="F332" s="3">
        <v>66703</v>
      </c>
      <c r="G332" s="3">
        <v>133406</v>
      </c>
      <c r="H332" t="s">
        <v>41</v>
      </c>
      <c r="I332" t="s">
        <v>26</v>
      </c>
      <c r="J332" t="s">
        <v>36</v>
      </c>
    </row>
    <row r="333" spans="1:10" x14ac:dyDescent="0.3">
      <c r="A333">
        <v>1332</v>
      </c>
      <c r="B333" s="2">
        <v>45990</v>
      </c>
      <c r="C333" t="s">
        <v>24</v>
      </c>
      <c r="D333" t="s">
        <v>20</v>
      </c>
      <c r="E333">
        <v>1</v>
      </c>
      <c r="F333" s="3">
        <v>2242</v>
      </c>
      <c r="G333" s="3">
        <v>2242</v>
      </c>
      <c r="H333" t="s">
        <v>44</v>
      </c>
      <c r="I333" t="s">
        <v>35</v>
      </c>
      <c r="J333" t="s">
        <v>27</v>
      </c>
    </row>
    <row r="334" spans="1:10" x14ac:dyDescent="0.3">
      <c r="A334">
        <v>1333</v>
      </c>
      <c r="B334" s="2">
        <v>45991</v>
      </c>
      <c r="C334" t="s">
        <v>28</v>
      </c>
      <c r="D334" t="s">
        <v>29</v>
      </c>
      <c r="E334">
        <v>3</v>
      </c>
      <c r="F334" s="3">
        <v>3095</v>
      </c>
      <c r="G334" s="3">
        <v>9285</v>
      </c>
      <c r="H334" t="s">
        <v>32</v>
      </c>
      <c r="I334" t="s">
        <v>35</v>
      </c>
      <c r="J334" t="s">
        <v>23</v>
      </c>
    </row>
    <row r="335" spans="1:10" x14ac:dyDescent="0.3">
      <c r="A335">
        <v>1334</v>
      </c>
      <c r="B335" s="2">
        <v>45992</v>
      </c>
      <c r="C335" t="s">
        <v>30</v>
      </c>
      <c r="D335" t="s">
        <v>31</v>
      </c>
      <c r="E335">
        <v>3</v>
      </c>
      <c r="F335" s="3">
        <v>4016</v>
      </c>
      <c r="G335" s="3">
        <v>12048</v>
      </c>
      <c r="H335" t="s">
        <v>25</v>
      </c>
      <c r="I335" t="s">
        <v>35</v>
      </c>
      <c r="J335" t="s">
        <v>23</v>
      </c>
    </row>
    <row r="336" spans="1:10" x14ac:dyDescent="0.3">
      <c r="A336">
        <v>1335</v>
      </c>
      <c r="B336" s="2">
        <v>45993</v>
      </c>
      <c r="C336" t="s">
        <v>33</v>
      </c>
      <c r="D336" t="s">
        <v>31</v>
      </c>
      <c r="E336">
        <v>4</v>
      </c>
      <c r="F336" s="3">
        <v>258</v>
      </c>
      <c r="G336" s="3">
        <v>1032</v>
      </c>
      <c r="H336" t="s">
        <v>25</v>
      </c>
      <c r="I336" t="s">
        <v>26</v>
      </c>
      <c r="J336" t="s">
        <v>23</v>
      </c>
    </row>
    <row r="337" spans="1:10" x14ac:dyDescent="0.3">
      <c r="A337">
        <v>1336</v>
      </c>
      <c r="B337" s="2">
        <v>45994</v>
      </c>
      <c r="C337" t="s">
        <v>34</v>
      </c>
      <c r="D337" t="s">
        <v>20</v>
      </c>
      <c r="E337">
        <v>1</v>
      </c>
      <c r="F337" s="3">
        <v>38061</v>
      </c>
      <c r="G337" s="3">
        <v>38061</v>
      </c>
      <c r="H337" t="s">
        <v>44</v>
      </c>
      <c r="I337" t="s">
        <v>26</v>
      </c>
      <c r="J337" t="s">
        <v>36</v>
      </c>
    </row>
    <row r="338" spans="1:10" x14ac:dyDescent="0.3">
      <c r="A338">
        <v>1337</v>
      </c>
      <c r="B338" s="2">
        <v>45995</v>
      </c>
      <c r="C338" t="s">
        <v>37</v>
      </c>
      <c r="D338" t="s">
        <v>38</v>
      </c>
      <c r="E338">
        <v>2</v>
      </c>
      <c r="F338" s="3">
        <v>366</v>
      </c>
      <c r="G338" s="3">
        <v>732</v>
      </c>
      <c r="H338" t="s">
        <v>25</v>
      </c>
      <c r="I338" t="s">
        <v>26</v>
      </c>
      <c r="J338" t="s">
        <v>27</v>
      </c>
    </row>
    <row r="339" spans="1:10" x14ac:dyDescent="0.3">
      <c r="A339">
        <v>1338</v>
      </c>
      <c r="B339" s="2">
        <v>45996</v>
      </c>
      <c r="C339" t="s">
        <v>40</v>
      </c>
      <c r="D339" t="s">
        <v>29</v>
      </c>
      <c r="E339">
        <v>1</v>
      </c>
      <c r="F339" s="3">
        <v>1827</v>
      </c>
      <c r="G339" s="3">
        <v>1827</v>
      </c>
      <c r="H339" t="s">
        <v>25</v>
      </c>
      <c r="I339" t="s">
        <v>35</v>
      </c>
      <c r="J339" t="s">
        <v>23</v>
      </c>
    </row>
    <row r="340" spans="1:10" x14ac:dyDescent="0.3">
      <c r="A340">
        <v>1339</v>
      </c>
      <c r="B340" s="2">
        <v>45997</v>
      </c>
      <c r="C340" t="s">
        <v>42</v>
      </c>
      <c r="D340" t="s">
        <v>20</v>
      </c>
      <c r="E340">
        <v>1</v>
      </c>
      <c r="F340" s="3">
        <v>6196</v>
      </c>
      <c r="G340" s="3">
        <v>6196</v>
      </c>
      <c r="H340" t="s">
        <v>39</v>
      </c>
      <c r="I340" t="s">
        <v>22</v>
      </c>
      <c r="J340" t="s">
        <v>27</v>
      </c>
    </row>
    <row r="341" spans="1:10" x14ac:dyDescent="0.3">
      <c r="A341">
        <v>1340</v>
      </c>
      <c r="B341" s="2">
        <v>45998</v>
      </c>
      <c r="C341" t="s">
        <v>43</v>
      </c>
      <c r="D341" t="s">
        <v>31</v>
      </c>
      <c r="E341">
        <v>5</v>
      </c>
      <c r="F341" s="3">
        <v>254</v>
      </c>
      <c r="G341" s="3">
        <v>1270</v>
      </c>
      <c r="H341" t="s">
        <v>32</v>
      </c>
      <c r="I341" t="s">
        <v>35</v>
      </c>
      <c r="J341" t="s">
        <v>23</v>
      </c>
    </row>
    <row r="342" spans="1:10" x14ac:dyDescent="0.3">
      <c r="A342">
        <v>1341</v>
      </c>
      <c r="B342" s="2">
        <v>45999</v>
      </c>
      <c r="C342" t="s">
        <v>19</v>
      </c>
      <c r="D342" t="s">
        <v>20</v>
      </c>
      <c r="E342">
        <v>2</v>
      </c>
      <c r="F342" s="3">
        <v>57783</v>
      </c>
      <c r="G342" s="3">
        <v>115566</v>
      </c>
      <c r="H342" t="s">
        <v>44</v>
      </c>
      <c r="I342" t="s">
        <v>35</v>
      </c>
      <c r="J342" t="s">
        <v>27</v>
      </c>
    </row>
    <row r="343" spans="1:10" x14ac:dyDescent="0.3">
      <c r="A343">
        <v>1342</v>
      </c>
      <c r="B343" s="2">
        <v>46000</v>
      </c>
      <c r="C343" t="s">
        <v>24</v>
      </c>
      <c r="D343" t="s">
        <v>20</v>
      </c>
      <c r="E343">
        <v>3</v>
      </c>
      <c r="F343" s="3">
        <v>1302</v>
      </c>
      <c r="G343" s="3">
        <v>3906</v>
      </c>
      <c r="H343" t="s">
        <v>25</v>
      </c>
      <c r="I343" t="s">
        <v>26</v>
      </c>
      <c r="J343" t="s">
        <v>36</v>
      </c>
    </row>
    <row r="344" spans="1:10" x14ac:dyDescent="0.3">
      <c r="A344">
        <v>1343</v>
      </c>
      <c r="B344" s="2">
        <v>46001</v>
      </c>
      <c r="C344" t="s">
        <v>28</v>
      </c>
      <c r="D344" t="s">
        <v>29</v>
      </c>
      <c r="E344">
        <v>1</v>
      </c>
      <c r="F344" s="3">
        <v>1283</v>
      </c>
      <c r="G344" s="3">
        <v>1283</v>
      </c>
      <c r="H344" t="s">
        <v>25</v>
      </c>
      <c r="I344" t="s">
        <v>26</v>
      </c>
      <c r="J344" t="s">
        <v>27</v>
      </c>
    </row>
    <row r="345" spans="1:10" x14ac:dyDescent="0.3">
      <c r="A345">
        <v>1344</v>
      </c>
      <c r="B345" s="2">
        <v>46002</v>
      </c>
      <c r="C345" t="s">
        <v>30</v>
      </c>
      <c r="D345" t="s">
        <v>31</v>
      </c>
      <c r="E345">
        <v>2</v>
      </c>
      <c r="F345" s="3">
        <v>10838</v>
      </c>
      <c r="G345" s="3">
        <v>21676</v>
      </c>
      <c r="H345" t="s">
        <v>39</v>
      </c>
      <c r="I345" t="s">
        <v>26</v>
      </c>
      <c r="J345" t="s">
        <v>27</v>
      </c>
    </row>
    <row r="346" spans="1:10" x14ac:dyDescent="0.3">
      <c r="A346">
        <v>1345</v>
      </c>
      <c r="B346" s="2">
        <v>46003</v>
      </c>
      <c r="C346" t="s">
        <v>33</v>
      </c>
      <c r="D346" t="s">
        <v>31</v>
      </c>
      <c r="E346">
        <v>1</v>
      </c>
      <c r="F346" s="3">
        <v>895</v>
      </c>
      <c r="G346" s="3">
        <v>895</v>
      </c>
      <c r="H346" t="s">
        <v>25</v>
      </c>
      <c r="I346" t="s">
        <v>35</v>
      </c>
      <c r="J346" t="s">
        <v>23</v>
      </c>
    </row>
    <row r="347" spans="1:10" x14ac:dyDescent="0.3">
      <c r="A347">
        <v>1346</v>
      </c>
      <c r="B347" s="2">
        <v>46004</v>
      </c>
      <c r="C347" t="s">
        <v>34</v>
      </c>
      <c r="D347" t="s">
        <v>20</v>
      </c>
      <c r="E347">
        <v>2</v>
      </c>
      <c r="F347" s="3">
        <v>14574</v>
      </c>
      <c r="G347" s="3">
        <v>29148</v>
      </c>
      <c r="H347" t="s">
        <v>41</v>
      </c>
      <c r="I347" t="s">
        <v>22</v>
      </c>
      <c r="J347" t="s">
        <v>23</v>
      </c>
    </row>
    <row r="348" spans="1:10" x14ac:dyDescent="0.3">
      <c r="A348">
        <v>1347</v>
      </c>
      <c r="B348" s="2">
        <v>46005</v>
      </c>
      <c r="C348" t="s">
        <v>37</v>
      </c>
      <c r="D348" t="s">
        <v>38</v>
      </c>
      <c r="E348">
        <v>2</v>
      </c>
      <c r="F348" s="3">
        <v>348</v>
      </c>
      <c r="G348" s="3">
        <v>696</v>
      </c>
      <c r="H348" t="s">
        <v>39</v>
      </c>
      <c r="I348" t="s">
        <v>26</v>
      </c>
      <c r="J348" t="s">
        <v>23</v>
      </c>
    </row>
    <row r="349" spans="1:10" x14ac:dyDescent="0.3">
      <c r="A349">
        <v>1348</v>
      </c>
      <c r="B349" s="2">
        <v>46006</v>
      </c>
      <c r="C349" t="s">
        <v>40</v>
      </c>
      <c r="D349" t="s">
        <v>29</v>
      </c>
      <c r="E349">
        <v>4</v>
      </c>
      <c r="F349" s="3">
        <v>544</v>
      </c>
      <c r="G349" s="3">
        <v>2176</v>
      </c>
      <c r="H349" t="s">
        <v>44</v>
      </c>
      <c r="I349" t="s">
        <v>22</v>
      </c>
      <c r="J349" t="s">
        <v>27</v>
      </c>
    </row>
    <row r="350" spans="1:10" x14ac:dyDescent="0.3">
      <c r="A350">
        <v>1349</v>
      </c>
      <c r="B350" s="2">
        <v>46007</v>
      </c>
      <c r="C350" t="s">
        <v>42</v>
      </c>
      <c r="D350" t="s">
        <v>20</v>
      </c>
      <c r="E350">
        <v>1</v>
      </c>
      <c r="F350" s="3">
        <v>13858</v>
      </c>
      <c r="G350" s="3">
        <v>13858</v>
      </c>
      <c r="H350" t="s">
        <v>32</v>
      </c>
      <c r="I350" t="s">
        <v>22</v>
      </c>
      <c r="J350" t="s">
        <v>23</v>
      </c>
    </row>
    <row r="351" spans="1:10" x14ac:dyDescent="0.3">
      <c r="A351">
        <v>1350</v>
      </c>
      <c r="B351" s="2">
        <v>46008</v>
      </c>
      <c r="C351" t="s">
        <v>43</v>
      </c>
      <c r="D351" t="s">
        <v>31</v>
      </c>
      <c r="E351">
        <v>3</v>
      </c>
      <c r="F351" s="3">
        <v>215</v>
      </c>
      <c r="G351" s="3">
        <v>645</v>
      </c>
      <c r="H351" t="s">
        <v>41</v>
      </c>
      <c r="I351" t="s">
        <v>35</v>
      </c>
      <c r="J351" t="s">
        <v>27</v>
      </c>
    </row>
    <row r="352" spans="1:10" x14ac:dyDescent="0.3">
      <c r="A352">
        <v>1351</v>
      </c>
      <c r="B352" s="2">
        <v>46009</v>
      </c>
      <c r="C352" t="s">
        <v>19</v>
      </c>
      <c r="D352" t="s">
        <v>20</v>
      </c>
      <c r="E352">
        <v>2</v>
      </c>
      <c r="F352" s="3">
        <v>57831</v>
      </c>
      <c r="G352" s="3">
        <v>115662</v>
      </c>
      <c r="H352" t="s">
        <v>44</v>
      </c>
      <c r="I352" t="s">
        <v>22</v>
      </c>
      <c r="J352" t="s">
        <v>36</v>
      </c>
    </row>
    <row r="353" spans="1:10" x14ac:dyDescent="0.3">
      <c r="A353">
        <v>1352</v>
      </c>
      <c r="B353" s="2">
        <v>46010</v>
      </c>
      <c r="C353" t="s">
        <v>24</v>
      </c>
      <c r="D353" t="s">
        <v>20</v>
      </c>
      <c r="E353">
        <v>1</v>
      </c>
      <c r="F353" s="3">
        <v>2608</v>
      </c>
      <c r="G353" s="3">
        <v>2608</v>
      </c>
      <c r="H353" t="s">
        <v>39</v>
      </c>
      <c r="I353" t="s">
        <v>26</v>
      </c>
      <c r="J353" t="s">
        <v>36</v>
      </c>
    </row>
    <row r="354" spans="1:10" x14ac:dyDescent="0.3">
      <c r="A354">
        <v>1353</v>
      </c>
      <c r="B354" s="2">
        <v>46011</v>
      </c>
      <c r="C354" t="s">
        <v>28</v>
      </c>
      <c r="D354" t="s">
        <v>29</v>
      </c>
      <c r="E354">
        <v>1</v>
      </c>
      <c r="F354" s="3">
        <v>3751</v>
      </c>
      <c r="G354" s="3">
        <v>3751</v>
      </c>
      <c r="H354" t="s">
        <v>44</v>
      </c>
      <c r="I354" t="s">
        <v>35</v>
      </c>
      <c r="J354" t="s">
        <v>23</v>
      </c>
    </row>
    <row r="355" spans="1:10" x14ac:dyDescent="0.3">
      <c r="A355">
        <v>1354</v>
      </c>
      <c r="B355" s="2">
        <v>46012</v>
      </c>
      <c r="C355" t="s">
        <v>30</v>
      </c>
      <c r="D355" t="s">
        <v>31</v>
      </c>
      <c r="E355">
        <v>5</v>
      </c>
      <c r="F355" s="3">
        <v>11976</v>
      </c>
      <c r="G355" s="3">
        <v>59880</v>
      </c>
      <c r="H355" t="s">
        <v>41</v>
      </c>
      <c r="I355" t="s">
        <v>35</v>
      </c>
      <c r="J355" t="s">
        <v>27</v>
      </c>
    </row>
    <row r="356" spans="1:10" x14ac:dyDescent="0.3">
      <c r="A356">
        <v>1355</v>
      </c>
      <c r="B356" s="2">
        <v>46013</v>
      </c>
      <c r="C356" t="s">
        <v>33</v>
      </c>
      <c r="D356" t="s">
        <v>31</v>
      </c>
      <c r="E356">
        <v>1</v>
      </c>
      <c r="F356" s="3">
        <v>542</v>
      </c>
      <c r="G356" s="3">
        <v>542</v>
      </c>
      <c r="H356" t="s">
        <v>41</v>
      </c>
      <c r="I356" t="s">
        <v>22</v>
      </c>
      <c r="J356" t="s">
        <v>27</v>
      </c>
    </row>
    <row r="357" spans="1:10" x14ac:dyDescent="0.3">
      <c r="A357">
        <v>1356</v>
      </c>
      <c r="B357" s="2">
        <v>46014</v>
      </c>
      <c r="C357" t="s">
        <v>34</v>
      </c>
      <c r="D357" t="s">
        <v>20</v>
      </c>
      <c r="E357">
        <v>2</v>
      </c>
      <c r="F357" s="3">
        <v>34854</v>
      </c>
      <c r="G357" s="3">
        <v>69708</v>
      </c>
      <c r="H357" t="s">
        <v>44</v>
      </c>
      <c r="I357" t="s">
        <v>22</v>
      </c>
      <c r="J357" t="s">
        <v>23</v>
      </c>
    </row>
    <row r="358" spans="1:10" x14ac:dyDescent="0.3">
      <c r="A358">
        <v>1357</v>
      </c>
      <c r="B358" s="2">
        <v>46015</v>
      </c>
      <c r="C358" t="s">
        <v>37</v>
      </c>
      <c r="D358" t="s">
        <v>38</v>
      </c>
      <c r="E358">
        <v>4</v>
      </c>
      <c r="F358" s="3">
        <v>821</v>
      </c>
      <c r="G358" s="3">
        <v>3284</v>
      </c>
      <c r="H358" t="s">
        <v>25</v>
      </c>
      <c r="I358" t="s">
        <v>26</v>
      </c>
      <c r="J358" t="s">
        <v>27</v>
      </c>
    </row>
    <row r="359" spans="1:10" x14ac:dyDescent="0.3">
      <c r="A359">
        <v>1358</v>
      </c>
      <c r="B359" s="2">
        <v>46016</v>
      </c>
      <c r="C359" t="s">
        <v>40</v>
      </c>
      <c r="D359" t="s">
        <v>29</v>
      </c>
      <c r="E359">
        <v>5</v>
      </c>
      <c r="F359" s="3">
        <v>1003</v>
      </c>
      <c r="G359" s="3">
        <v>5015</v>
      </c>
      <c r="H359" t="s">
        <v>44</v>
      </c>
      <c r="I359" t="s">
        <v>35</v>
      </c>
      <c r="J359" t="s">
        <v>36</v>
      </c>
    </row>
    <row r="360" spans="1:10" x14ac:dyDescent="0.3">
      <c r="A360">
        <v>1359</v>
      </c>
      <c r="B360" s="2">
        <v>46017</v>
      </c>
      <c r="C360" t="s">
        <v>42</v>
      </c>
      <c r="D360" t="s">
        <v>20</v>
      </c>
      <c r="E360">
        <v>1</v>
      </c>
      <c r="F360" s="3">
        <v>9526</v>
      </c>
      <c r="G360" s="3">
        <v>9526</v>
      </c>
      <c r="H360" t="s">
        <v>44</v>
      </c>
      <c r="I360" t="s">
        <v>22</v>
      </c>
      <c r="J360" t="s">
        <v>27</v>
      </c>
    </row>
    <row r="361" spans="1:10" x14ac:dyDescent="0.3">
      <c r="A361">
        <v>1360</v>
      </c>
      <c r="B361" s="2">
        <v>46018</v>
      </c>
      <c r="C361" t="s">
        <v>43</v>
      </c>
      <c r="D361" t="s">
        <v>31</v>
      </c>
      <c r="E361">
        <v>5</v>
      </c>
      <c r="F361" s="3">
        <v>317</v>
      </c>
      <c r="G361" s="3">
        <v>1585</v>
      </c>
      <c r="H361" t="s">
        <v>21</v>
      </c>
      <c r="I361" t="s">
        <v>35</v>
      </c>
      <c r="J361" t="s">
        <v>36</v>
      </c>
    </row>
    <row r="362" spans="1:10" x14ac:dyDescent="0.3">
      <c r="A362">
        <v>1361</v>
      </c>
      <c r="B362" s="2">
        <v>46019</v>
      </c>
      <c r="C362" t="s">
        <v>19</v>
      </c>
      <c r="D362" t="s">
        <v>20</v>
      </c>
      <c r="E362">
        <v>1</v>
      </c>
      <c r="F362" s="3">
        <v>53373</v>
      </c>
      <c r="G362" s="3">
        <v>53373</v>
      </c>
      <c r="H362" t="s">
        <v>44</v>
      </c>
      <c r="I362" t="s">
        <v>22</v>
      </c>
      <c r="J362" t="s">
        <v>36</v>
      </c>
    </row>
    <row r="363" spans="1:10" x14ac:dyDescent="0.3">
      <c r="A363">
        <v>1362</v>
      </c>
      <c r="B363" s="2">
        <v>46020</v>
      </c>
      <c r="C363" t="s">
        <v>24</v>
      </c>
      <c r="D363" t="s">
        <v>20</v>
      </c>
      <c r="E363">
        <v>2</v>
      </c>
      <c r="F363" s="3">
        <v>4853</v>
      </c>
      <c r="G363" s="3">
        <v>9706</v>
      </c>
      <c r="H363" t="s">
        <v>21</v>
      </c>
      <c r="I363" t="s">
        <v>26</v>
      </c>
      <c r="J363" t="s">
        <v>23</v>
      </c>
    </row>
    <row r="364" spans="1:10" x14ac:dyDescent="0.3">
      <c r="A364">
        <v>1363</v>
      </c>
      <c r="B364" s="2">
        <v>46021</v>
      </c>
      <c r="C364" t="s">
        <v>28</v>
      </c>
      <c r="D364" t="s">
        <v>29</v>
      </c>
      <c r="E364">
        <v>2</v>
      </c>
      <c r="F364" s="3">
        <v>4788</v>
      </c>
      <c r="G364" s="3">
        <v>9576</v>
      </c>
      <c r="H364" t="s">
        <v>32</v>
      </c>
      <c r="I364" t="s">
        <v>22</v>
      </c>
      <c r="J364" t="s">
        <v>23</v>
      </c>
    </row>
    <row r="365" spans="1:10" x14ac:dyDescent="0.3">
      <c r="A365">
        <v>1364</v>
      </c>
      <c r="B365" s="2">
        <v>46022</v>
      </c>
      <c r="C365" t="s">
        <v>30</v>
      </c>
      <c r="D365" t="s">
        <v>31</v>
      </c>
      <c r="E365">
        <v>5</v>
      </c>
      <c r="F365" s="3">
        <v>17252</v>
      </c>
      <c r="G365" s="3">
        <v>86260</v>
      </c>
      <c r="H365" t="s">
        <v>39</v>
      </c>
      <c r="I365" t="s">
        <v>35</v>
      </c>
      <c r="J365" t="s">
        <v>36</v>
      </c>
    </row>
    <row r="366" spans="1:10" x14ac:dyDescent="0.3">
      <c r="A366">
        <v>1365</v>
      </c>
      <c r="B366" s="2">
        <v>46023</v>
      </c>
      <c r="C366" t="s">
        <v>33</v>
      </c>
      <c r="D366" t="s">
        <v>31</v>
      </c>
      <c r="E366">
        <v>5</v>
      </c>
      <c r="F366" s="3">
        <v>179</v>
      </c>
      <c r="G366" s="3">
        <v>895</v>
      </c>
      <c r="H366" t="s">
        <v>25</v>
      </c>
      <c r="I366" t="s">
        <v>22</v>
      </c>
      <c r="J366" t="s">
        <v>36</v>
      </c>
    </row>
    <row r="367" spans="1:10" x14ac:dyDescent="0.3">
      <c r="A367">
        <v>1366</v>
      </c>
      <c r="B367" s="2">
        <v>46024</v>
      </c>
      <c r="C367" t="s">
        <v>34</v>
      </c>
      <c r="D367" t="s">
        <v>20</v>
      </c>
      <c r="E367">
        <v>1</v>
      </c>
      <c r="F367" s="3">
        <v>29151</v>
      </c>
      <c r="G367" s="3">
        <v>29151</v>
      </c>
      <c r="H367" t="s">
        <v>25</v>
      </c>
      <c r="I367" t="s">
        <v>26</v>
      </c>
      <c r="J367" t="s">
        <v>23</v>
      </c>
    </row>
    <row r="368" spans="1:10" x14ac:dyDescent="0.3">
      <c r="A368">
        <v>1367</v>
      </c>
      <c r="B368" s="2">
        <v>46025</v>
      </c>
      <c r="C368" t="s">
        <v>37</v>
      </c>
      <c r="D368" t="s">
        <v>38</v>
      </c>
      <c r="E368">
        <v>4</v>
      </c>
      <c r="F368" s="3">
        <v>474</v>
      </c>
      <c r="G368" s="3">
        <v>1896</v>
      </c>
      <c r="H368" t="s">
        <v>21</v>
      </c>
      <c r="I368" t="s">
        <v>35</v>
      </c>
      <c r="J368" t="s">
        <v>23</v>
      </c>
    </row>
    <row r="369" spans="1:10" x14ac:dyDescent="0.3">
      <c r="A369">
        <v>1368</v>
      </c>
      <c r="B369" s="2">
        <v>46026</v>
      </c>
      <c r="C369" t="s">
        <v>40</v>
      </c>
      <c r="D369" t="s">
        <v>29</v>
      </c>
      <c r="E369">
        <v>1</v>
      </c>
      <c r="F369" s="3">
        <v>1670</v>
      </c>
      <c r="G369" s="3">
        <v>1670</v>
      </c>
      <c r="H369" t="s">
        <v>41</v>
      </c>
      <c r="I369" t="s">
        <v>35</v>
      </c>
      <c r="J369" t="s">
        <v>23</v>
      </c>
    </row>
    <row r="370" spans="1:10" x14ac:dyDescent="0.3">
      <c r="A370">
        <v>1369</v>
      </c>
      <c r="B370" s="2">
        <v>46027</v>
      </c>
      <c r="C370" t="s">
        <v>42</v>
      </c>
      <c r="D370" t="s">
        <v>20</v>
      </c>
      <c r="E370">
        <v>2</v>
      </c>
      <c r="F370" s="3">
        <v>14676</v>
      </c>
      <c r="G370" s="3">
        <v>29352</v>
      </c>
      <c r="H370" t="s">
        <v>41</v>
      </c>
      <c r="I370" t="s">
        <v>22</v>
      </c>
      <c r="J370" t="s">
        <v>23</v>
      </c>
    </row>
    <row r="371" spans="1:10" x14ac:dyDescent="0.3">
      <c r="A371">
        <v>1370</v>
      </c>
      <c r="B371" s="2">
        <v>46028</v>
      </c>
      <c r="C371" t="s">
        <v>43</v>
      </c>
      <c r="D371" t="s">
        <v>31</v>
      </c>
      <c r="E371">
        <v>3</v>
      </c>
      <c r="F371" s="3">
        <v>635</v>
      </c>
      <c r="G371" s="3">
        <v>1905</v>
      </c>
      <c r="H371" t="s">
        <v>41</v>
      </c>
      <c r="I371" t="s">
        <v>22</v>
      </c>
      <c r="J371" t="s">
        <v>27</v>
      </c>
    </row>
    <row r="372" spans="1:10" x14ac:dyDescent="0.3">
      <c r="A372">
        <v>1371</v>
      </c>
      <c r="B372" s="2">
        <v>46029</v>
      </c>
      <c r="C372" t="s">
        <v>19</v>
      </c>
      <c r="D372" t="s">
        <v>20</v>
      </c>
      <c r="E372">
        <v>2</v>
      </c>
      <c r="F372" s="3">
        <v>61090</v>
      </c>
      <c r="G372" s="3">
        <v>122180</v>
      </c>
      <c r="H372" t="s">
        <v>39</v>
      </c>
      <c r="I372" t="s">
        <v>22</v>
      </c>
      <c r="J372" t="s">
        <v>27</v>
      </c>
    </row>
    <row r="373" spans="1:10" x14ac:dyDescent="0.3">
      <c r="A373">
        <v>1372</v>
      </c>
      <c r="B373" s="2">
        <v>46030</v>
      </c>
      <c r="C373" t="s">
        <v>24</v>
      </c>
      <c r="D373" t="s">
        <v>20</v>
      </c>
      <c r="E373">
        <v>1</v>
      </c>
      <c r="F373" s="3">
        <v>2093</v>
      </c>
      <c r="G373" s="3">
        <v>2093</v>
      </c>
      <c r="H373" t="s">
        <v>41</v>
      </c>
      <c r="I373" t="s">
        <v>35</v>
      </c>
      <c r="J373" t="s">
        <v>23</v>
      </c>
    </row>
    <row r="374" spans="1:10" x14ac:dyDescent="0.3">
      <c r="A374">
        <v>1373</v>
      </c>
      <c r="B374" s="2">
        <v>46031</v>
      </c>
      <c r="C374" t="s">
        <v>28</v>
      </c>
      <c r="D374" t="s">
        <v>29</v>
      </c>
      <c r="E374">
        <v>3</v>
      </c>
      <c r="F374" s="3">
        <v>4952</v>
      </c>
      <c r="G374" s="3">
        <v>14856</v>
      </c>
      <c r="H374" t="s">
        <v>39</v>
      </c>
      <c r="I374" t="s">
        <v>22</v>
      </c>
      <c r="J374" t="s">
        <v>23</v>
      </c>
    </row>
    <row r="375" spans="1:10" x14ac:dyDescent="0.3">
      <c r="A375">
        <v>1374</v>
      </c>
      <c r="B375" s="2">
        <v>46032</v>
      </c>
      <c r="C375" t="s">
        <v>30</v>
      </c>
      <c r="D375" t="s">
        <v>31</v>
      </c>
      <c r="E375">
        <v>4</v>
      </c>
      <c r="F375" s="3">
        <v>11582</v>
      </c>
      <c r="G375" s="3">
        <v>46328</v>
      </c>
      <c r="H375" t="s">
        <v>21</v>
      </c>
      <c r="I375" t="s">
        <v>26</v>
      </c>
      <c r="J375" t="s">
        <v>36</v>
      </c>
    </row>
    <row r="376" spans="1:10" x14ac:dyDescent="0.3">
      <c r="A376">
        <v>1375</v>
      </c>
      <c r="B376" s="2">
        <v>46033</v>
      </c>
      <c r="C376" t="s">
        <v>33</v>
      </c>
      <c r="D376" t="s">
        <v>31</v>
      </c>
      <c r="E376">
        <v>1</v>
      </c>
      <c r="F376" s="3">
        <v>267</v>
      </c>
      <c r="G376" s="3">
        <v>267</v>
      </c>
      <c r="H376" t="s">
        <v>21</v>
      </c>
      <c r="I376" t="s">
        <v>35</v>
      </c>
      <c r="J376" t="s">
        <v>23</v>
      </c>
    </row>
    <row r="377" spans="1:10" x14ac:dyDescent="0.3">
      <c r="A377">
        <v>1376</v>
      </c>
      <c r="B377" s="2">
        <v>46034</v>
      </c>
      <c r="C377" t="s">
        <v>34</v>
      </c>
      <c r="D377" t="s">
        <v>20</v>
      </c>
      <c r="E377">
        <v>1</v>
      </c>
      <c r="F377" s="3">
        <v>36468</v>
      </c>
      <c r="G377" s="3">
        <v>36468</v>
      </c>
      <c r="H377" t="s">
        <v>39</v>
      </c>
      <c r="I377" t="s">
        <v>22</v>
      </c>
      <c r="J377" t="s">
        <v>36</v>
      </c>
    </row>
    <row r="378" spans="1:10" x14ac:dyDescent="0.3">
      <c r="A378">
        <v>1377</v>
      </c>
      <c r="B378" s="2">
        <v>46035</v>
      </c>
      <c r="C378" t="s">
        <v>37</v>
      </c>
      <c r="D378" t="s">
        <v>38</v>
      </c>
      <c r="E378">
        <v>4</v>
      </c>
      <c r="F378" s="3">
        <v>506</v>
      </c>
      <c r="G378" s="3">
        <v>2024</v>
      </c>
      <c r="H378" t="s">
        <v>32</v>
      </c>
      <c r="I378" t="s">
        <v>26</v>
      </c>
      <c r="J378" t="s">
        <v>36</v>
      </c>
    </row>
    <row r="379" spans="1:10" x14ac:dyDescent="0.3">
      <c r="A379">
        <v>1378</v>
      </c>
      <c r="B379" s="2">
        <v>46036</v>
      </c>
      <c r="C379" t="s">
        <v>40</v>
      </c>
      <c r="D379" t="s">
        <v>29</v>
      </c>
      <c r="E379">
        <v>1</v>
      </c>
      <c r="F379" s="3">
        <v>640</v>
      </c>
      <c r="G379" s="3">
        <v>640</v>
      </c>
      <c r="H379" t="s">
        <v>32</v>
      </c>
      <c r="I379" t="s">
        <v>26</v>
      </c>
      <c r="J379" t="s">
        <v>36</v>
      </c>
    </row>
    <row r="380" spans="1:10" x14ac:dyDescent="0.3">
      <c r="A380">
        <v>1379</v>
      </c>
      <c r="B380" s="2">
        <v>46037</v>
      </c>
      <c r="C380" t="s">
        <v>42</v>
      </c>
      <c r="D380" t="s">
        <v>20</v>
      </c>
      <c r="E380">
        <v>2</v>
      </c>
      <c r="F380" s="3">
        <v>7951</v>
      </c>
      <c r="G380" s="3">
        <v>15902</v>
      </c>
      <c r="H380" t="s">
        <v>41</v>
      </c>
      <c r="I380" t="s">
        <v>35</v>
      </c>
      <c r="J380" t="s">
        <v>27</v>
      </c>
    </row>
    <row r="381" spans="1:10" x14ac:dyDescent="0.3">
      <c r="A381">
        <v>1380</v>
      </c>
      <c r="B381" s="2">
        <v>46038</v>
      </c>
      <c r="C381" t="s">
        <v>43</v>
      </c>
      <c r="D381" t="s">
        <v>31</v>
      </c>
      <c r="E381">
        <v>2</v>
      </c>
      <c r="F381" s="3">
        <v>547</v>
      </c>
      <c r="G381" s="3">
        <v>1094</v>
      </c>
      <c r="H381" t="s">
        <v>25</v>
      </c>
      <c r="I381" t="s">
        <v>35</v>
      </c>
      <c r="J381" t="s">
        <v>27</v>
      </c>
    </row>
    <row r="382" spans="1:10" x14ac:dyDescent="0.3">
      <c r="A382">
        <v>1381</v>
      </c>
      <c r="B382" s="2">
        <v>46039</v>
      </c>
      <c r="C382" t="s">
        <v>19</v>
      </c>
      <c r="D382" t="s">
        <v>20</v>
      </c>
      <c r="E382">
        <v>2</v>
      </c>
      <c r="F382" s="3">
        <v>44128</v>
      </c>
      <c r="G382" s="3">
        <v>88256</v>
      </c>
      <c r="H382" t="s">
        <v>21</v>
      </c>
      <c r="I382" t="s">
        <v>35</v>
      </c>
      <c r="J382" t="s">
        <v>27</v>
      </c>
    </row>
    <row r="383" spans="1:10" x14ac:dyDescent="0.3">
      <c r="A383">
        <v>1382</v>
      </c>
      <c r="B383" s="2">
        <v>46040</v>
      </c>
      <c r="C383" t="s">
        <v>24</v>
      </c>
      <c r="D383" t="s">
        <v>20</v>
      </c>
      <c r="E383">
        <v>1</v>
      </c>
      <c r="F383" s="3">
        <v>2236</v>
      </c>
      <c r="G383" s="3">
        <v>2236</v>
      </c>
      <c r="H383" t="s">
        <v>44</v>
      </c>
      <c r="I383" t="s">
        <v>26</v>
      </c>
      <c r="J383" t="s">
        <v>36</v>
      </c>
    </row>
    <row r="384" spans="1:10" x14ac:dyDescent="0.3">
      <c r="A384">
        <v>1383</v>
      </c>
      <c r="B384" s="2">
        <v>46041</v>
      </c>
      <c r="C384" t="s">
        <v>28</v>
      </c>
      <c r="D384" t="s">
        <v>29</v>
      </c>
      <c r="E384">
        <v>1</v>
      </c>
      <c r="F384" s="3">
        <v>2086</v>
      </c>
      <c r="G384" s="3">
        <v>2086</v>
      </c>
      <c r="H384" t="s">
        <v>44</v>
      </c>
      <c r="I384" t="s">
        <v>22</v>
      </c>
      <c r="J384" t="s">
        <v>27</v>
      </c>
    </row>
    <row r="385" spans="1:10" x14ac:dyDescent="0.3">
      <c r="A385">
        <v>1384</v>
      </c>
      <c r="B385" s="2">
        <v>46042</v>
      </c>
      <c r="C385" t="s">
        <v>30</v>
      </c>
      <c r="D385" t="s">
        <v>31</v>
      </c>
      <c r="E385">
        <v>5</v>
      </c>
      <c r="F385" s="3">
        <v>2776</v>
      </c>
      <c r="G385" s="3">
        <v>13880</v>
      </c>
      <c r="H385" t="s">
        <v>21</v>
      </c>
      <c r="I385" t="s">
        <v>35</v>
      </c>
      <c r="J385" t="s">
        <v>23</v>
      </c>
    </row>
    <row r="386" spans="1:10" x14ac:dyDescent="0.3">
      <c r="A386">
        <v>1385</v>
      </c>
      <c r="B386" s="2">
        <v>46043</v>
      </c>
      <c r="C386" t="s">
        <v>33</v>
      </c>
      <c r="D386" t="s">
        <v>31</v>
      </c>
      <c r="E386">
        <v>3</v>
      </c>
      <c r="F386" s="3">
        <v>950</v>
      </c>
      <c r="G386" s="3">
        <v>2850</v>
      </c>
      <c r="H386" t="s">
        <v>39</v>
      </c>
      <c r="I386" t="s">
        <v>26</v>
      </c>
      <c r="J386" t="s">
        <v>27</v>
      </c>
    </row>
    <row r="387" spans="1:10" x14ac:dyDescent="0.3">
      <c r="A387">
        <v>1386</v>
      </c>
      <c r="B387" s="2">
        <v>46044</v>
      </c>
      <c r="C387" t="s">
        <v>34</v>
      </c>
      <c r="D387" t="s">
        <v>20</v>
      </c>
      <c r="E387">
        <v>2</v>
      </c>
      <c r="F387" s="3">
        <v>35262</v>
      </c>
      <c r="G387" s="3">
        <v>70524</v>
      </c>
      <c r="H387" t="s">
        <v>21</v>
      </c>
      <c r="I387" t="s">
        <v>35</v>
      </c>
      <c r="J387" t="s">
        <v>36</v>
      </c>
    </row>
    <row r="388" spans="1:10" x14ac:dyDescent="0.3">
      <c r="A388">
        <v>1387</v>
      </c>
      <c r="B388" s="2">
        <v>46045</v>
      </c>
      <c r="C388" t="s">
        <v>37</v>
      </c>
      <c r="D388" t="s">
        <v>38</v>
      </c>
      <c r="E388">
        <v>2</v>
      </c>
      <c r="F388" s="3">
        <v>987</v>
      </c>
      <c r="G388" s="3">
        <v>1974</v>
      </c>
      <c r="H388" t="s">
        <v>41</v>
      </c>
      <c r="I388" t="s">
        <v>22</v>
      </c>
      <c r="J388" t="s">
        <v>23</v>
      </c>
    </row>
    <row r="389" spans="1:10" x14ac:dyDescent="0.3">
      <c r="A389">
        <v>1388</v>
      </c>
      <c r="B389" s="2">
        <v>46046</v>
      </c>
      <c r="C389" t="s">
        <v>40</v>
      </c>
      <c r="D389" t="s">
        <v>29</v>
      </c>
      <c r="E389">
        <v>4</v>
      </c>
      <c r="F389" s="3">
        <v>1738</v>
      </c>
      <c r="G389" s="3">
        <v>6952</v>
      </c>
      <c r="H389" t="s">
        <v>25</v>
      </c>
      <c r="I389" t="s">
        <v>26</v>
      </c>
      <c r="J389" t="s">
        <v>27</v>
      </c>
    </row>
    <row r="390" spans="1:10" x14ac:dyDescent="0.3">
      <c r="A390">
        <v>1389</v>
      </c>
      <c r="B390" s="2">
        <v>46047</v>
      </c>
      <c r="C390" t="s">
        <v>42</v>
      </c>
      <c r="D390" t="s">
        <v>20</v>
      </c>
      <c r="E390">
        <v>2</v>
      </c>
      <c r="F390" s="3">
        <v>12489</v>
      </c>
      <c r="G390" s="3">
        <v>24978</v>
      </c>
      <c r="H390" t="s">
        <v>44</v>
      </c>
      <c r="I390" t="s">
        <v>26</v>
      </c>
      <c r="J390" t="s">
        <v>27</v>
      </c>
    </row>
    <row r="391" spans="1:10" x14ac:dyDescent="0.3">
      <c r="A391">
        <v>1390</v>
      </c>
      <c r="B391" s="2">
        <v>46048</v>
      </c>
      <c r="C391" t="s">
        <v>43</v>
      </c>
      <c r="D391" t="s">
        <v>31</v>
      </c>
      <c r="E391">
        <v>1</v>
      </c>
      <c r="F391" s="3">
        <v>655</v>
      </c>
      <c r="G391" s="3">
        <v>655</v>
      </c>
      <c r="H391" t="s">
        <v>44</v>
      </c>
      <c r="I391" t="s">
        <v>35</v>
      </c>
      <c r="J391" t="s">
        <v>23</v>
      </c>
    </row>
    <row r="392" spans="1:10" x14ac:dyDescent="0.3">
      <c r="A392">
        <v>1391</v>
      </c>
      <c r="B392" s="2">
        <v>46049</v>
      </c>
      <c r="C392" t="s">
        <v>19</v>
      </c>
      <c r="D392" t="s">
        <v>20</v>
      </c>
      <c r="E392">
        <v>1</v>
      </c>
      <c r="F392" s="3">
        <v>43749</v>
      </c>
      <c r="G392" s="3">
        <v>43749</v>
      </c>
      <c r="H392" t="s">
        <v>41</v>
      </c>
      <c r="I392" t="s">
        <v>22</v>
      </c>
      <c r="J392" t="s">
        <v>23</v>
      </c>
    </row>
    <row r="393" spans="1:10" x14ac:dyDescent="0.3">
      <c r="A393">
        <v>1392</v>
      </c>
      <c r="B393" s="2">
        <v>46050</v>
      </c>
      <c r="C393" t="s">
        <v>24</v>
      </c>
      <c r="D393" t="s">
        <v>20</v>
      </c>
      <c r="E393">
        <v>2</v>
      </c>
      <c r="F393" s="3">
        <v>2811</v>
      </c>
      <c r="G393" s="3">
        <v>5622</v>
      </c>
      <c r="H393" t="s">
        <v>44</v>
      </c>
      <c r="I393" t="s">
        <v>22</v>
      </c>
      <c r="J393" t="s">
        <v>36</v>
      </c>
    </row>
    <row r="394" spans="1:10" x14ac:dyDescent="0.3">
      <c r="A394">
        <v>1393</v>
      </c>
      <c r="B394" s="2">
        <v>46051</v>
      </c>
      <c r="C394" t="s">
        <v>28</v>
      </c>
      <c r="D394" t="s">
        <v>29</v>
      </c>
      <c r="E394">
        <v>2</v>
      </c>
      <c r="F394" s="3">
        <v>3024</v>
      </c>
      <c r="G394" s="3">
        <v>6048</v>
      </c>
      <c r="H394" t="s">
        <v>21</v>
      </c>
      <c r="I394" t="s">
        <v>22</v>
      </c>
      <c r="J394" t="s">
        <v>27</v>
      </c>
    </row>
    <row r="395" spans="1:10" x14ac:dyDescent="0.3">
      <c r="A395">
        <v>1394</v>
      </c>
      <c r="B395" s="2">
        <v>46052</v>
      </c>
      <c r="C395" t="s">
        <v>30</v>
      </c>
      <c r="D395" t="s">
        <v>31</v>
      </c>
      <c r="E395">
        <v>2</v>
      </c>
      <c r="F395" s="3">
        <v>3456</v>
      </c>
      <c r="G395" s="3">
        <v>6912</v>
      </c>
      <c r="H395" t="s">
        <v>21</v>
      </c>
      <c r="I395" t="s">
        <v>26</v>
      </c>
      <c r="J395" t="s">
        <v>27</v>
      </c>
    </row>
    <row r="396" spans="1:10" x14ac:dyDescent="0.3">
      <c r="A396">
        <v>1395</v>
      </c>
      <c r="B396" s="2">
        <v>46053</v>
      </c>
      <c r="C396" t="s">
        <v>33</v>
      </c>
      <c r="D396" t="s">
        <v>31</v>
      </c>
      <c r="E396">
        <v>2</v>
      </c>
      <c r="F396" s="3">
        <v>101</v>
      </c>
      <c r="G396" s="3">
        <v>202</v>
      </c>
      <c r="H396" t="s">
        <v>39</v>
      </c>
      <c r="I396" t="s">
        <v>26</v>
      </c>
      <c r="J396" t="s">
        <v>36</v>
      </c>
    </row>
    <row r="397" spans="1:10" x14ac:dyDescent="0.3">
      <c r="A397">
        <v>1396</v>
      </c>
      <c r="B397" s="2">
        <v>46054</v>
      </c>
      <c r="C397" t="s">
        <v>34</v>
      </c>
      <c r="D397" t="s">
        <v>20</v>
      </c>
      <c r="E397">
        <v>1</v>
      </c>
      <c r="F397" s="3">
        <v>12460</v>
      </c>
      <c r="G397" s="3">
        <v>12460</v>
      </c>
      <c r="H397" t="s">
        <v>21</v>
      </c>
      <c r="I397" t="s">
        <v>35</v>
      </c>
      <c r="J397" t="s">
        <v>36</v>
      </c>
    </row>
    <row r="398" spans="1:10" x14ac:dyDescent="0.3">
      <c r="A398">
        <v>1397</v>
      </c>
      <c r="B398" s="2">
        <v>46055</v>
      </c>
      <c r="C398" t="s">
        <v>37</v>
      </c>
      <c r="D398" t="s">
        <v>38</v>
      </c>
      <c r="E398">
        <v>2</v>
      </c>
      <c r="F398" s="3">
        <v>255</v>
      </c>
      <c r="G398" s="3">
        <v>510</v>
      </c>
      <c r="H398" t="s">
        <v>39</v>
      </c>
      <c r="I398" t="s">
        <v>35</v>
      </c>
      <c r="J398" t="s">
        <v>36</v>
      </c>
    </row>
    <row r="399" spans="1:10" x14ac:dyDescent="0.3">
      <c r="A399">
        <v>1398</v>
      </c>
      <c r="B399" s="2">
        <v>46056</v>
      </c>
      <c r="C399" t="s">
        <v>40</v>
      </c>
      <c r="D399" t="s">
        <v>29</v>
      </c>
      <c r="E399">
        <v>4</v>
      </c>
      <c r="F399" s="3">
        <v>688</v>
      </c>
      <c r="G399" s="3">
        <v>2752</v>
      </c>
      <c r="H399" t="s">
        <v>21</v>
      </c>
      <c r="I399" t="s">
        <v>22</v>
      </c>
      <c r="J399" t="s">
        <v>23</v>
      </c>
    </row>
    <row r="400" spans="1:10" x14ac:dyDescent="0.3">
      <c r="A400">
        <v>1399</v>
      </c>
      <c r="B400" s="2">
        <v>46057</v>
      </c>
      <c r="C400" t="s">
        <v>42</v>
      </c>
      <c r="D400" t="s">
        <v>20</v>
      </c>
      <c r="E400">
        <v>2</v>
      </c>
      <c r="F400" s="3">
        <v>4109</v>
      </c>
      <c r="G400" s="3">
        <v>8218</v>
      </c>
      <c r="H400" t="s">
        <v>25</v>
      </c>
      <c r="I400" t="s">
        <v>26</v>
      </c>
      <c r="J400" t="s">
        <v>23</v>
      </c>
    </row>
    <row r="401" spans="1:10" x14ac:dyDescent="0.3">
      <c r="A401">
        <v>1400</v>
      </c>
      <c r="B401" s="2">
        <v>46058</v>
      </c>
      <c r="C401" t="s">
        <v>43</v>
      </c>
      <c r="D401" t="s">
        <v>31</v>
      </c>
      <c r="E401">
        <v>2</v>
      </c>
      <c r="F401" s="3">
        <v>289</v>
      </c>
      <c r="G401" s="3">
        <v>578</v>
      </c>
      <c r="H401" t="s">
        <v>44</v>
      </c>
      <c r="I401" t="s">
        <v>35</v>
      </c>
      <c r="J401" t="s">
        <v>27</v>
      </c>
    </row>
    <row r="402" spans="1:10" x14ac:dyDescent="0.3">
      <c r="A402">
        <v>1401</v>
      </c>
      <c r="B402" s="2">
        <v>46059</v>
      </c>
      <c r="C402" t="s">
        <v>19</v>
      </c>
      <c r="D402" t="s">
        <v>20</v>
      </c>
      <c r="E402">
        <v>1</v>
      </c>
      <c r="F402" s="3">
        <v>56349</v>
      </c>
      <c r="G402" s="3">
        <v>56349</v>
      </c>
      <c r="H402" t="s">
        <v>39</v>
      </c>
      <c r="I402" t="s">
        <v>35</v>
      </c>
      <c r="J402" t="s">
        <v>36</v>
      </c>
    </row>
    <row r="403" spans="1:10" x14ac:dyDescent="0.3">
      <c r="A403">
        <v>1402</v>
      </c>
      <c r="B403" s="2">
        <v>46060</v>
      </c>
      <c r="C403" t="s">
        <v>24</v>
      </c>
      <c r="D403" t="s">
        <v>20</v>
      </c>
      <c r="E403">
        <v>3</v>
      </c>
      <c r="F403" s="3">
        <v>2075</v>
      </c>
      <c r="G403" s="3">
        <v>6225</v>
      </c>
      <c r="H403" t="s">
        <v>39</v>
      </c>
      <c r="I403" t="s">
        <v>35</v>
      </c>
      <c r="J403" t="s">
        <v>23</v>
      </c>
    </row>
    <row r="404" spans="1:10" x14ac:dyDescent="0.3">
      <c r="A404">
        <v>1403</v>
      </c>
      <c r="B404" s="2">
        <v>46061</v>
      </c>
      <c r="C404" t="s">
        <v>28</v>
      </c>
      <c r="D404" t="s">
        <v>29</v>
      </c>
      <c r="E404">
        <v>3</v>
      </c>
      <c r="F404" s="3">
        <v>3644</v>
      </c>
      <c r="G404" s="3">
        <v>10932</v>
      </c>
      <c r="H404" t="s">
        <v>21</v>
      </c>
      <c r="I404" t="s">
        <v>26</v>
      </c>
      <c r="J404" t="s">
        <v>27</v>
      </c>
    </row>
    <row r="405" spans="1:10" x14ac:dyDescent="0.3">
      <c r="A405">
        <v>1404</v>
      </c>
      <c r="B405" s="2">
        <v>46062</v>
      </c>
      <c r="C405" t="s">
        <v>30</v>
      </c>
      <c r="D405" t="s">
        <v>31</v>
      </c>
      <c r="E405">
        <v>1</v>
      </c>
      <c r="F405" s="3">
        <v>5904</v>
      </c>
      <c r="G405" s="3">
        <v>5904</v>
      </c>
      <c r="H405" t="s">
        <v>44</v>
      </c>
      <c r="I405" t="s">
        <v>26</v>
      </c>
      <c r="J405" t="s">
        <v>27</v>
      </c>
    </row>
    <row r="406" spans="1:10" x14ac:dyDescent="0.3">
      <c r="A406">
        <v>1405</v>
      </c>
      <c r="B406" s="2">
        <v>46063</v>
      </c>
      <c r="C406" t="s">
        <v>33</v>
      </c>
      <c r="D406" t="s">
        <v>31</v>
      </c>
      <c r="E406">
        <v>3</v>
      </c>
      <c r="F406" s="3">
        <v>295</v>
      </c>
      <c r="G406" s="3">
        <v>885</v>
      </c>
      <c r="H406" t="s">
        <v>41</v>
      </c>
      <c r="I406" t="s">
        <v>22</v>
      </c>
      <c r="J406" t="s">
        <v>36</v>
      </c>
    </row>
    <row r="407" spans="1:10" x14ac:dyDescent="0.3">
      <c r="A407">
        <v>1406</v>
      </c>
      <c r="B407" s="2">
        <v>46064</v>
      </c>
      <c r="C407" t="s">
        <v>34</v>
      </c>
      <c r="D407" t="s">
        <v>20</v>
      </c>
      <c r="E407">
        <v>1</v>
      </c>
      <c r="F407" s="3">
        <v>27414</v>
      </c>
      <c r="G407" s="3">
        <v>27414</v>
      </c>
      <c r="H407" t="s">
        <v>21</v>
      </c>
      <c r="I407" t="s">
        <v>26</v>
      </c>
      <c r="J407" t="s">
        <v>23</v>
      </c>
    </row>
    <row r="408" spans="1:10" x14ac:dyDescent="0.3">
      <c r="A408">
        <v>1407</v>
      </c>
      <c r="B408" s="2">
        <v>46065</v>
      </c>
      <c r="C408" t="s">
        <v>37</v>
      </c>
      <c r="D408" t="s">
        <v>38</v>
      </c>
      <c r="E408">
        <v>1</v>
      </c>
      <c r="F408" s="3">
        <v>367</v>
      </c>
      <c r="G408" s="3">
        <v>367</v>
      </c>
      <c r="H408" t="s">
        <v>41</v>
      </c>
      <c r="I408" t="s">
        <v>22</v>
      </c>
      <c r="J408" t="s">
        <v>36</v>
      </c>
    </row>
    <row r="409" spans="1:10" x14ac:dyDescent="0.3">
      <c r="A409">
        <v>1408</v>
      </c>
      <c r="B409" s="2">
        <v>46066</v>
      </c>
      <c r="C409" t="s">
        <v>40</v>
      </c>
      <c r="D409" t="s">
        <v>29</v>
      </c>
      <c r="E409">
        <v>2</v>
      </c>
      <c r="F409" s="3">
        <v>698</v>
      </c>
      <c r="G409" s="3">
        <v>1396</v>
      </c>
      <c r="H409" t="s">
        <v>32</v>
      </c>
      <c r="I409" t="s">
        <v>22</v>
      </c>
      <c r="J409" t="s">
        <v>36</v>
      </c>
    </row>
    <row r="410" spans="1:10" x14ac:dyDescent="0.3">
      <c r="A410">
        <v>1409</v>
      </c>
      <c r="B410" s="2">
        <v>46067</v>
      </c>
      <c r="C410" t="s">
        <v>42</v>
      </c>
      <c r="D410" t="s">
        <v>20</v>
      </c>
      <c r="E410">
        <v>2</v>
      </c>
      <c r="F410" s="3">
        <v>13713</v>
      </c>
      <c r="G410" s="3">
        <v>27426</v>
      </c>
      <c r="H410" t="s">
        <v>41</v>
      </c>
      <c r="I410" t="s">
        <v>35</v>
      </c>
      <c r="J410" t="s">
        <v>23</v>
      </c>
    </row>
    <row r="411" spans="1:10" x14ac:dyDescent="0.3">
      <c r="A411">
        <v>1410</v>
      </c>
      <c r="B411" s="2">
        <v>46068</v>
      </c>
      <c r="C411" t="s">
        <v>43</v>
      </c>
      <c r="D411" t="s">
        <v>31</v>
      </c>
      <c r="E411">
        <v>4</v>
      </c>
      <c r="F411" s="3">
        <v>626</v>
      </c>
      <c r="G411" s="3">
        <v>2504</v>
      </c>
      <c r="H411" t="s">
        <v>25</v>
      </c>
      <c r="I411" t="s">
        <v>22</v>
      </c>
      <c r="J411" t="s">
        <v>36</v>
      </c>
    </row>
    <row r="412" spans="1:10" x14ac:dyDescent="0.3">
      <c r="A412">
        <v>1411</v>
      </c>
      <c r="B412" s="2">
        <v>46069</v>
      </c>
      <c r="C412" t="s">
        <v>19</v>
      </c>
      <c r="D412" t="s">
        <v>20</v>
      </c>
      <c r="E412">
        <v>2</v>
      </c>
      <c r="F412" s="3">
        <v>56913</v>
      </c>
      <c r="G412" s="3">
        <v>113826</v>
      </c>
      <c r="H412" t="s">
        <v>25</v>
      </c>
      <c r="I412" t="s">
        <v>22</v>
      </c>
      <c r="J412" t="s">
        <v>23</v>
      </c>
    </row>
    <row r="413" spans="1:10" x14ac:dyDescent="0.3">
      <c r="A413">
        <v>1412</v>
      </c>
      <c r="B413" s="2">
        <v>46070</v>
      </c>
      <c r="C413" t="s">
        <v>24</v>
      </c>
      <c r="D413" t="s">
        <v>20</v>
      </c>
      <c r="E413">
        <v>1</v>
      </c>
      <c r="F413" s="3">
        <v>4959</v>
      </c>
      <c r="G413" s="3">
        <v>4959</v>
      </c>
      <c r="H413" t="s">
        <v>44</v>
      </c>
      <c r="I413" t="s">
        <v>22</v>
      </c>
      <c r="J413" t="s">
        <v>23</v>
      </c>
    </row>
    <row r="414" spans="1:10" x14ac:dyDescent="0.3">
      <c r="A414">
        <v>1413</v>
      </c>
      <c r="B414" s="2">
        <v>46071</v>
      </c>
      <c r="C414" t="s">
        <v>28</v>
      </c>
      <c r="D414" t="s">
        <v>29</v>
      </c>
      <c r="E414">
        <v>2</v>
      </c>
      <c r="F414" s="3">
        <v>2841</v>
      </c>
      <c r="G414" s="3">
        <v>5682</v>
      </c>
      <c r="H414" t="s">
        <v>44</v>
      </c>
      <c r="I414" t="s">
        <v>22</v>
      </c>
      <c r="J414" t="s">
        <v>23</v>
      </c>
    </row>
    <row r="415" spans="1:10" x14ac:dyDescent="0.3">
      <c r="A415">
        <v>1414</v>
      </c>
      <c r="B415" s="2">
        <v>46072</v>
      </c>
      <c r="C415" t="s">
        <v>30</v>
      </c>
      <c r="D415" t="s">
        <v>31</v>
      </c>
      <c r="E415">
        <v>4</v>
      </c>
      <c r="F415" s="3">
        <v>13916</v>
      </c>
      <c r="G415" s="3">
        <v>55664</v>
      </c>
      <c r="H415" t="s">
        <v>39</v>
      </c>
      <c r="I415" t="s">
        <v>26</v>
      </c>
      <c r="J415" t="s">
        <v>23</v>
      </c>
    </row>
    <row r="416" spans="1:10" x14ac:dyDescent="0.3">
      <c r="A416">
        <v>1415</v>
      </c>
      <c r="B416" s="2">
        <v>46073</v>
      </c>
      <c r="C416" t="s">
        <v>33</v>
      </c>
      <c r="D416" t="s">
        <v>31</v>
      </c>
      <c r="E416">
        <v>4</v>
      </c>
      <c r="F416" s="3">
        <v>151</v>
      </c>
      <c r="G416" s="3">
        <v>604</v>
      </c>
      <c r="H416" t="s">
        <v>44</v>
      </c>
      <c r="I416" t="s">
        <v>35</v>
      </c>
      <c r="J416" t="s">
        <v>36</v>
      </c>
    </row>
    <row r="417" spans="1:10" x14ac:dyDescent="0.3">
      <c r="A417">
        <v>1416</v>
      </c>
      <c r="B417" s="2">
        <v>46074</v>
      </c>
      <c r="C417" t="s">
        <v>34</v>
      </c>
      <c r="D417" t="s">
        <v>20</v>
      </c>
      <c r="E417">
        <v>1</v>
      </c>
      <c r="F417" s="3">
        <v>17923</v>
      </c>
      <c r="G417" s="3">
        <v>17923</v>
      </c>
      <c r="H417" t="s">
        <v>21</v>
      </c>
      <c r="I417" t="s">
        <v>26</v>
      </c>
      <c r="J417" t="s">
        <v>36</v>
      </c>
    </row>
    <row r="418" spans="1:10" x14ac:dyDescent="0.3">
      <c r="A418">
        <v>1417</v>
      </c>
      <c r="B418" s="2">
        <v>46075</v>
      </c>
      <c r="C418" t="s">
        <v>37</v>
      </c>
      <c r="D418" t="s">
        <v>38</v>
      </c>
      <c r="E418">
        <v>3</v>
      </c>
      <c r="F418" s="3">
        <v>843</v>
      </c>
      <c r="G418" s="3">
        <v>2529</v>
      </c>
      <c r="H418" t="s">
        <v>41</v>
      </c>
      <c r="I418" t="s">
        <v>26</v>
      </c>
      <c r="J418" t="s">
        <v>23</v>
      </c>
    </row>
    <row r="419" spans="1:10" x14ac:dyDescent="0.3">
      <c r="A419">
        <v>1418</v>
      </c>
      <c r="B419" s="2">
        <v>46076</v>
      </c>
      <c r="C419" t="s">
        <v>40</v>
      </c>
      <c r="D419" t="s">
        <v>29</v>
      </c>
      <c r="E419">
        <v>2</v>
      </c>
      <c r="F419" s="3">
        <v>1736</v>
      </c>
      <c r="G419" s="3">
        <v>3472</v>
      </c>
      <c r="H419" t="s">
        <v>25</v>
      </c>
      <c r="I419" t="s">
        <v>26</v>
      </c>
      <c r="J419" t="s">
        <v>27</v>
      </c>
    </row>
    <row r="420" spans="1:10" x14ac:dyDescent="0.3">
      <c r="A420">
        <v>1419</v>
      </c>
      <c r="B420" s="2">
        <v>46077</v>
      </c>
      <c r="C420" t="s">
        <v>42</v>
      </c>
      <c r="D420" t="s">
        <v>20</v>
      </c>
      <c r="E420">
        <v>1</v>
      </c>
      <c r="F420" s="3">
        <v>13704</v>
      </c>
      <c r="G420" s="3">
        <v>13704</v>
      </c>
      <c r="H420" t="s">
        <v>44</v>
      </c>
      <c r="I420" t="s">
        <v>22</v>
      </c>
      <c r="J420" t="s">
        <v>27</v>
      </c>
    </row>
    <row r="421" spans="1:10" x14ac:dyDescent="0.3">
      <c r="A421">
        <v>1420</v>
      </c>
      <c r="B421" s="2">
        <v>46078</v>
      </c>
      <c r="C421" t="s">
        <v>43</v>
      </c>
      <c r="D421" t="s">
        <v>31</v>
      </c>
      <c r="E421">
        <v>5</v>
      </c>
      <c r="F421" s="3">
        <v>297</v>
      </c>
      <c r="G421" s="3">
        <v>1485</v>
      </c>
      <c r="H421" t="s">
        <v>25</v>
      </c>
      <c r="I421" t="s">
        <v>22</v>
      </c>
      <c r="J421" t="s">
        <v>27</v>
      </c>
    </row>
    <row r="422" spans="1:10" x14ac:dyDescent="0.3">
      <c r="A422">
        <v>1421</v>
      </c>
      <c r="B422" s="2">
        <v>46079</v>
      </c>
      <c r="C422" t="s">
        <v>19</v>
      </c>
      <c r="D422" t="s">
        <v>20</v>
      </c>
      <c r="E422">
        <v>2</v>
      </c>
      <c r="F422" s="3">
        <v>59030</v>
      </c>
      <c r="G422" s="3">
        <v>118060</v>
      </c>
      <c r="H422" t="s">
        <v>39</v>
      </c>
      <c r="I422" t="s">
        <v>35</v>
      </c>
      <c r="J422" t="s">
        <v>27</v>
      </c>
    </row>
    <row r="423" spans="1:10" x14ac:dyDescent="0.3">
      <c r="A423">
        <v>1422</v>
      </c>
      <c r="B423" s="2">
        <v>46080</v>
      </c>
      <c r="C423" t="s">
        <v>24</v>
      </c>
      <c r="D423" t="s">
        <v>20</v>
      </c>
      <c r="E423">
        <v>1</v>
      </c>
      <c r="F423" s="3">
        <v>1043</v>
      </c>
      <c r="G423" s="3">
        <v>1043</v>
      </c>
      <c r="H423" t="s">
        <v>44</v>
      </c>
      <c r="I423" t="s">
        <v>22</v>
      </c>
      <c r="J423" t="s">
        <v>27</v>
      </c>
    </row>
    <row r="424" spans="1:10" x14ac:dyDescent="0.3">
      <c r="A424">
        <v>1423</v>
      </c>
      <c r="B424" s="2">
        <v>46081</v>
      </c>
      <c r="C424" t="s">
        <v>28</v>
      </c>
      <c r="D424" t="s">
        <v>29</v>
      </c>
      <c r="E424">
        <v>2</v>
      </c>
      <c r="F424" s="3">
        <v>3714</v>
      </c>
      <c r="G424" s="3">
        <v>7428</v>
      </c>
      <c r="H424" t="s">
        <v>25</v>
      </c>
      <c r="I424" t="s">
        <v>26</v>
      </c>
      <c r="J424" t="s">
        <v>23</v>
      </c>
    </row>
    <row r="425" spans="1:10" x14ac:dyDescent="0.3">
      <c r="A425">
        <v>1424</v>
      </c>
      <c r="B425" s="2">
        <v>46082</v>
      </c>
      <c r="C425" t="s">
        <v>30</v>
      </c>
      <c r="D425" t="s">
        <v>31</v>
      </c>
      <c r="E425">
        <v>2</v>
      </c>
      <c r="F425" s="3">
        <v>4810</v>
      </c>
      <c r="G425" s="3">
        <v>9620</v>
      </c>
      <c r="H425" t="s">
        <v>39</v>
      </c>
      <c r="I425" t="s">
        <v>35</v>
      </c>
      <c r="J425" t="s">
        <v>27</v>
      </c>
    </row>
    <row r="426" spans="1:10" x14ac:dyDescent="0.3">
      <c r="A426">
        <v>1425</v>
      </c>
      <c r="B426" s="2">
        <v>46083</v>
      </c>
      <c r="C426" t="s">
        <v>33</v>
      </c>
      <c r="D426" t="s">
        <v>31</v>
      </c>
      <c r="E426">
        <v>3</v>
      </c>
      <c r="F426" s="3">
        <v>873</v>
      </c>
      <c r="G426" s="3">
        <v>2619</v>
      </c>
      <c r="H426" t="s">
        <v>25</v>
      </c>
      <c r="I426" t="s">
        <v>35</v>
      </c>
      <c r="J426" t="s">
        <v>23</v>
      </c>
    </row>
    <row r="427" spans="1:10" x14ac:dyDescent="0.3">
      <c r="A427">
        <v>1426</v>
      </c>
      <c r="B427" s="2">
        <v>46084</v>
      </c>
      <c r="C427" t="s">
        <v>34</v>
      </c>
      <c r="D427" t="s">
        <v>20</v>
      </c>
      <c r="E427">
        <v>1</v>
      </c>
      <c r="F427" s="3">
        <v>16801</v>
      </c>
      <c r="G427" s="3">
        <v>16801</v>
      </c>
      <c r="H427" t="s">
        <v>44</v>
      </c>
      <c r="I427" t="s">
        <v>22</v>
      </c>
      <c r="J427" t="s">
        <v>27</v>
      </c>
    </row>
    <row r="428" spans="1:10" x14ac:dyDescent="0.3">
      <c r="A428">
        <v>1427</v>
      </c>
      <c r="B428" s="2">
        <v>46085</v>
      </c>
      <c r="C428" t="s">
        <v>37</v>
      </c>
      <c r="D428" t="s">
        <v>38</v>
      </c>
      <c r="E428">
        <v>2</v>
      </c>
      <c r="F428" s="3">
        <v>881</v>
      </c>
      <c r="G428" s="3">
        <v>1762</v>
      </c>
      <c r="H428" t="s">
        <v>32</v>
      </c>
      <c r="I428" t="s">
        <v>35</v>
      </c>
      <c r="J428" t="s">
        <v>36</v>
      </c>
    </row>
    <row r="429" spans="1:10" x14ac:dyDescent="0.3">
      <c r="A429">
        <v>1428</v>
      </c>
      <c r="B429" s="2">
        <v>46086</v>
      </c>
      <c r="C429" t="s">
        <v>40</v>
      </c>
      <c r="D429" t="s">
        <v>29</v>
      </c>
      <c r="E429">
        <v>1</v>
      </c>
      <c r="F429" s="3">
        <v>1334</v>
      </c>
      <c r="G429" s="3">
        <v>1334</v>
      </c>
      <c r="H429" t="s">
        <v>32</v>
      </c>
      <c r="I429" t="s">
        <v>22</v>
      </c>
      <c r="J429" t="s">
        <v>23</v>
      </c>
    </row>
    <row r="430" spans="1:10" x14ac:dyDescent="0.3">
      <c r="A430">
        <v>1429</v>
      </c>
      <c r="B430" s="2">
        <v>46087</v>
      </c>
      <c r="C430" t="s">
        <v>42</v>
      </c>
      <c r="D430" t="s">
        <v>20</v>
      </c>
      <c r="E430">
        <v>1</v>
      </c>
      <c r="F430" s="3">
        <v>5467</v>
      </c>
      <c r="G430" s="3">
        <v>5467</v>
      </c>
      <c r="H430" t="s">
        <v>41</v>
      </c>
      <c r="I430" t="s">
        <v>22</v>
      </c>
      <c r="J430" t="s">
        <v>23</v>
      </c>
    </row>
    <row r="431" spans="1:10" x14ac:dyDescent="0.3">
      <c r="A431">
        <v>1430</v>
      </c>
      <c r="B431" s="2">
        <v>46088</v>
      </c>
      <c r="C431" t="s">
        <v>43</v>
      </c>
      <c r="D431" t="s">
        <v>31</v>
      </c>
      <c r="E431">
        <v>5</v>
      </c>
      <c r="F431" s="3">
        <v>767</v>
      </c>
      <c r="G431" s="3">
        <v>3835</v>
      </c>
      <c r="H431" t="s">
        <v>25</v>
      </c>
      <c r="I431" t="s">
        <v>35</v>
      </c>
      <c r="J431" t="s">
        <v>23</v>
      </c>
    </row>
    <row r="432" spans="1:10" x14ac:dyDescent="0.3">
      <c r="A432">
        <v>1431</v>
      </c>
      <c r="B432" s="2">
        <v>46089</v>
      </c>
      <c r="C432" t="s">
        <v>19</v>
      </c>
      <c r="D432" t="s">
        <v>20</v>
      </c>
      <c r="E432">
        <v>2</v>
      </c>
      <c r="F432" s="3">
        <v>45680</v>
      </c>
      <c r="G432" s="3">
        <v>91360</v>
      </c>
      <c r="H432" t="s">
        <v>21</v>
      </c>
      <c r="I432" t="s">
        <v>22</v>
      </c>
      <c r="J432" t="s">
        <v>27</v>
      </c>
    </row>
    <row r="433" spans="1:10" x14ac:dyDescent="0.3">
      <c r="A433">
        <v>1432</v>
      </c>
      <c r="B433" s="2">
        <v>46090</v>
      </c>
      <c r="C433" t="s">
        <v>24</v>
      </c>
      <c r="D433" t="s">
        <v>20</v>
      </c>
      <c r="E433">
        <v>1</v>
      </c>
      <c r="F433" s="3">
        <v>3500</v>
      </c>
      <c r="G433" s="3">
        <v>3500</v>
      </c>
      <c r="H433" t="s">
        <v>39</v>
      </c>
      <c r="I433" t="s">
        <v>22</v>
      </c>
      <c r="J433" t="s">
        <v>27</v>
      </c>
    </row>
    <row r="434" spans="1:10" x14ac:dyDescent="0.3">
      <c r="A434">
        <v>1433</v>
      </c>
      <c r="B434" s="2">
        <v>46091</v>
      </c>
      <c r="C434" t="s">
        <v>28</v>
      </c>
      <c r="D434" t="s">
        <v>29</v>
      </c>
      <c r="E434">
        <v>1</v>
      </c>
      <c r="F434" s="3">
        <v>2356</v>
      </c>
      <c r="G434" s="3">
        <v>2356</v>
      </c>
      <c r="H434" t="s">
        <v>39</v>
      </c>
      <c r="I434" t="s">
        <v>35</v>
      </c>
      <c r="J434" t="s">
        <v>36</v>
      </c>
    </row>
    <row r="435" spans="1:10" x14ac:dyDescent="0.3">
      <c r="A435">
        <v>1434</v>
      </c>
      <c r="B435" s="2">
        <v>46092</v>
      </c>
      <c r="C435" t="s">
        <v>30</v>
      </c>
      <c r="D435" t="s">
        <v>31</v>
      </c>
      <c r="E435">
        <v>5</v>
      </c>
      <c r="F435" s="3">
        <v>7458</v>
      </c>
      <c r="G435" s="3">
        <v>37290</v>
      </c>
      <c r="H435" t="s">
        <v>41</v>
      </c>
      <c r="I435" t="s">
        <v>22</v>
      </c>
      <c r="J435" t="s">
        <v>27</v>
      </c>
    </row>
    <row r="436" spans="1:10" x14ac:dyDescent="0.3">
      <c r="A436">
        <v>1435</v>
      </c>
      <c r="B436" s="2">
        <v>46093</v>
      </c>
      <c r="C436" t="s">
        <v>33</v>
      </c>
      <c r="D436" t="s">
        <v>31</v>
      </c>
      <c r="E436">
        <v>3</v>
      </c>
      <c r="F436" s="3">
        <v>365</v>
      </c>
      <c r="G436" s="3">
        <v>1095</v>
      </c>
      <c r="H436" t="s">
        <v>41</v>
      </c>
      <c r="I436" t="s">
        <v>35</v>
      </c>
      <c r="J436" t="s">
        <v>27</v>
      </c>
    </row>
    <row r="437" spans="1:10" x14ac:dyDescent="0.3">
      <c r="A437">
        <v>1436</v>
      </c>
      <c r="B437" s="2">
        <v>46094</v>
      </c>
      <c r="C437" t="s">
        <v>34</v>
      </c>
      <c r="D437" t="s">
        <v>20</v>
      </c>
      <c r="E437">
        <v>2</v>
      </c>
      <c r="F437" s="3">
        <v>20872</v>
      </c>
      <c r="G437" s="3">
        <v>41744</v>
      </c>
      <c r="H437" t="s">
        <v>41</v>
      </c>
      <c r="I437" t="s">
        <v>22</v>
      </c>
      <c r="J437" t="s">
        <v>23</v>
      </c>
    </row>
    <row r="438" spans="1:10" x14ac:dyDescent="0.3">
      <c r="A438">
        <v>1437</v>
      </c>
      <c r="B438" s="2">
        <v>46095</v>
      </c>
      <c r="C438" t="s">
        <v>37</v>
      </c>
      <c r="D438" t="s">
        <v>38</v>
      </c>
      <c r="E438">
        <v>5</v>
      </c>
      <c r="F438" s="3">
        <v>987</v>
      </c>
      <c r="G438" s="3">
        <v>4935</v>
      </c>
      <c r="H438" t="s">
        <v>32</v>
      </c>
      <c r="I438" t="s">
        <v>22</v>
      </c>
      <c r="J438" t="s">
        <v>27</v>
      </c>
    </row>
    <row r="439" spans="1:10" x14ac:dyDescent="0.3">
      <c r="A439">
        <v>1438</v>
      </c>
      <c r="B439" s="2">
        <v>46096</v>
      </c>
      <c r="C439" t="s">
        <v>40</v>
      </c>
      <c r="D439" t="s">
        <v>29</v>
      </c>
      <c r="E439">
        <v>2</v>
      </c>
      <c r="F439" s="3">
        <v>1861</v>
      </c>
      <c r="G439" s="3">
        <v>3722</v>
      </c>
      <c r="H439" t="s">
        <v>44</v>
      </c>
      <c r="I439" t="s">
        <v>22</v>
      </c>
      <c r="J439" t="s">
        <v>36</v>
      </c>
    </row>
    <row r="440" spans="1:10" x14ac:dyDescent="0.3">
      <c r="A440">
        <v>1439</v>
      </c>
      <c r="B440" s="2">
        <v>46097</v>
      </c>
      <c r="C440" t="s">
        <v>42</v>
      </c>
      <c r="D440" t="s">
        <v>20</v>
      </c>
      <c r="E440">
        <v>2</v>
      </c>
      <c r="F440" s="3">
        <v>7608</v>
      </c>
      <c r="G440" s="3">
        <v>15216</v>
      </c>
      <c r="H440" t="s">
        <v>39</v>
      </c>
      <c r="I440" t="s">
        <v>26</v>
      </c>
      <c r="J440" t="s">
        <v>36</v>
      </c>
    </row>
    <row r="441" spans="1:10" x14ac:dyDescent="0.3">
      <c r="A441">
        <v>1440</v>
      </c>
      <c r="B441" s="2">
        <v>46098</v>
      </c>
      <c r="C441" t="s">
        <v>43</v>
      </c>
      <c r="D441" t="s">
        <v>31</v>
      </c>
      <c r="E441">
        <v>3</v>
      </c>
      <c r="F441" s="3">
        <v>672</v>
      </c>
      <c r="G441" s="3">
        <v>2016</v>
      </c>
      <c r="H441" t="s">
        <v>41</v>
      </c>
      <c r="I441" t="s">
        <v>26</v>
      </c>
      <c r="J441" t="s">
        <v>36</v>
      </c>
    </row>
    <row r="442" spans="1:10" x14ac:dyDescent="0.3">
      <c r="A442">
        <v>1441</v>
      </c>
      <c r="B442" s="2">
        <v>46099</v>
      </c>
      <c r="C442" t="s">
        <v>19</v>
      </c>
      <c r="D442" t="s">
        <v>20</v>
      </c>
      <c r="E442">
        <v>2</v>
      </c>
      <c r="F442" s="3">
        <v>53902</v>
      </c>
      <c r="G442" s="3">
        <v>107804</v>
      </c>
      <c r="H442" t="s">
        <v>41</v>
      </c>
      <c r="I442" t="s">
        <v>35</v>
      </c>
      <c r="J442" t="s">
        <v>36</v>
      </c>
    </row>
    <row r="443" spans="1:10" x14ac:dyDescent="0.3">
      <c r="A443">
        <v>1442</v>
      </c>
      <c r="B443" s="2">
        <v>46100</v>
      </c>
      <c r="C443" t="s">
        <v>24</v>
      </c>
      <c r="D443" t="s">
        <v>20</v>
      </c>
      <c r="E443">
        <v>3</v>
      </c>
      <c r="F443" s="3">
        <v>3381</v>
      </c>
      <c r="G443" s="3">
        <v>10143</v>
      </c>
      <c r="H443" t="s">
        <v>25</v>
      </c>
      <c r="I443" t="s">
        <v>26</v>
      </c>
      <c r="J443" t="s">
        <v>36</v>
      </c>
    </row>
    <row r="444" spans="1:10" x14ac:dyDescent="0.3">
      <c r="A444">
        <v>1443</v>
      </c>
      <c r="B444" s="2">
        <v>46101</v>
      </c>
      <c r="C444" t="s">
        <v>28</v>
      </c>
      <c r="D444" t="s">
        <v>29</v>
      </c>
      <c r="E444">
        <v>2</v>
      </c>
      <c r="F444" s="3">
        <v>3696</v>
      </c>
      <c r="G444" s="3">
        <v>7392</v>
      </c>
      <c r="H444" t="s">
        <v>25</v>
      </c>
      <c r="I444" t="s">
        <v>26</v>
      </c>
      <c r="J444" t="s">
        <v>36</v>
      </c>
    </row>
    <row r="445" spans="1:10" x14ac:dyDescent="0.3">
      <c r="A445">
        <v>1444</v>
      </c>
      <c r="B445" s="2">
        <v>46102</v>
      </c>
      <c r="C445" t="s">
        <v>30</v>
      </c>
      <c r="D445" t="s">
        <v>31</v>
      </c>
      <c r="E445">
        <v>4</v>
      </c>
      <c r="F445" s="3">
        <v>19559</v>
      </c>
      <c r="G445" s="3">
        <v>78236</v>
      </c>
      <c r="H445" t="s">
        <v>39</v>
      </c>
      <c r="I445" t="s">
        <v>26</v>
      </c>
      <c r="J445" t="s">
        <v>23</v>
      </c>
    </row>
    <row r="446" spans="1:10" x14ac:dyDescent="0.3">
      <c r="A446">
        <v>1445</v>
      </c>
      <c r="B446" s="2">
        <v>46103</v>
      </c>
      <c r="C446" t="s">
        <v>33</v>
      </c>
      <c r="D446" t="s">
        <v>31</v>
      </c>
      <c r="E446">
        <v>5</v>
      </c>
      <c r="F446" s="3">
        <v>503</v>
      </c>
      <c r="G446" s="3">
        <v>2515</v>
      </c>
      <c r="H446" t="s">
        <v>44</v>
      </c>
      <c r="I446" t="s">
        <v>26</v>
      </c>
      <c r="J446" t="s">
        <v>23</v>
      </c>
    </row>
    <row r="447" spans="1:10" x14ac:dyDescent="0.3">
      <c r="A447">
        <v>1446</v>
      </c>
      <c r="B447" s="2">
        <v>46104</v>
      </c>
      <c r="C447" t="s">
        <v>34</v>
      </c>
      <c r="D447" t="s">
        <v>20</v>
      </c>
      <c r="E447">
        <v>1</v>
      </c>
      <c r="F447" s="3">
        <v>38392</v>
      </c>
      <c r="G447" s="3">
        <v>38392</v>
      </c>
      <c r="H447" t="s">
        <v>32</v>
      </c>
      <c r="I447" t="s">
        <v>26</v>
      </c>
      <c r="J447" t="s">
        <v>36</v>
      </c>
    </row>
    <row r="448" spans="1:10" x14ac:dyDescent="0.3">
      <c r="A448">
        <v>1447</v>
      </c>
      <c r="B448" s="2">
        <v>46105</v>
      </c>
      <c r="C448" t="s">
        <v>37</v>
      </c>
      <c r="D448" t="s">
        <v>38</v>
      </c>
      <c r="E448">
        <v>4</v>
      </c>
      <c r="F448" s="3">
        <v>113</v>
      </c>
      <c r="G448" s="3">
        <v>452</v>
      </c>
      <c r="H448" t="s">
        <v>25</v>
      </c>
      <c r="I448" t="s">
        <v>26</v>
      </c>
      <c r="J448" t="s">
        <v>23</v>
      </c>
    </row>
    <row r="449" spans="1:10" x14ac:dyDescent="0.3">
      <c r="A449">
        <v>1448</v>
      </c>
      <c r="B449" s="2">
        <v>46106</v>
      </c>
      <c r="C449" t="s">
        <v>40</v>
      </c>
      <c r="D449" t="s">
        <v>29</v>
      </c>
      <c r="E449">
        <v>5</v>
      </c>
      <c r="F449" s="3">
        <v>684</v>
      </c>
      <c r="G449" s="3">
        <v>3420</v>
      </c>
      <c r="H449" t="s">
        <v>39</v>
      </c>
      <c r="I449" t="s">
        <v>35</v>
      </c>
      <c r="J449" t="s">
        <v>27</v>
      </c>
    </row>
    <row r="450" spans="1:10" x14ac:dyDescent="0.3">
      <c r="A450">
        <v>1449</v>
      </c>
      <c r="B450" s="2">
        <v>46107</v>
      </c>
      <c r="C450" t="s">
        <v>42</v>
      </c>
      <c r="D450" t="s">
        <v>20</v>
      </c>
      <c r="E450">
        <v>1</v>
      </c>
      <c r="F450" s="3">
        <v>3574</v>
      </c>
      <c r="G450" s="3">
        <v>3574</v>
      </c>
      <c r="H450" t="s">
        <v>21</v>
      </c>
      <c r="I450" t="s">
        <v>26</v>
      </c>
      <c r="J450" t="s">
        <v>23</v>
      </c>
    </row>
    <row r="451" spans="1:10" x14ac:dyDescent="0.3">
      <c r="A451">
        <v>1450</v>
      </c>
      <c r="B451" s="2">
        <v>46108</v>
      </c>
      <c r="C451" t="s">
        <v>43</v>
      </c>
      <c r="D451" t="s">
        <v>31</v>
      </c>
      <c r="E451">
        <v>5</v>
      </c>
      <c r="F451" s="3">
        <v>779</v>
      </c>
      <c r="G451" s="3">
        <v>3895</v>
      </c>
      <c r="H451" t="s">
        <v>39</v>
      </c>
      <c r="I451" t="s">
        <v>22</v>
      </c>
      <c r="J451" t="s">
        <v>36</v>
      </c>
    </row>
    <row r="452" spans="1:10" x14ac:dyDescent="0.3">
      <c r="A452">
        <v>1451</v>
      </c>
      <c r="B452" s="2">
        <v>46109</v>
      </c>
      <c r="C452" t="s">
        <v>19</v>
      </c>
      <c r="D452" t="s">
        <v>20</v>
      </c>
      <c r="E452">
        <v>1</v>
      </c>
      <c r="F452" s="3">
        <v>40358</v>
      </c>
      <c r="G452" s="3">
        <v>40358</v>
      </c>
      <c r="H452" t="s">
        <v>39</v>
      </c>
      <c r="I452" t="s">
        <v>22</v>
      </c>
      <c r="J452" t="s">
        <v>27</v>
      </c>
    </row>
    <row r="453" spans="1:10" x14ac:dyDescent="0.3">
      <c r="A453">
        <v>1452</v>
      </c>
      <c r="B453" s="2">
        <v>46110</v>
      </c>
      <c r="C453" t="s">
        <v>24</v>
      </c>
      <c r="D453" t="s">
        <v>20</v>
      </c>
      <c r="E453">
        <v>3</v>
      </c>
      <c r="F453" s="3">
        <v>3269</v>
      </c>
      <c r="G453" s="3">
        <v>9807</v>
      </c>
      <c r="H453" t="s">
        <v>21</v>
      </c>
      <c r="I453" t="s">
        <v>35</v>
      </c>
      <c r="J453" t="s">
        <v>36</v>
      </c>
    </row>
    <row r="454" spans="1:10" x14ac:dyDescent="0.3">
      <c r="A454">
        <v>1453</v>
      </c>
      <c r="B454" s="2">
        <v>46111</v>
      </c>
      <c r="C454" t="s">
        <v>28</v>
      </c>
      <c r="D454" t="s">
        <v>29</v>
      </c>
      <c r="E454">
        <v>1</v>
      </c>
      <c r="F454" s="3">
        <v>2592</v>
      </c>
      <c r="G454" s="3">
        <v>2592</v>
      </c>
      <c r="H454" t="s">
        <v>44</v>
      </c>
      <c r="I454" t="s">
        <v>26</v>
      </c>
      <c r="J454" t="s">
        <v>36</v>
      </c>
    </row>
    <row r="455" spans="1:10" x14ac:dyDescent="0.3">
      <c r="A455">
        <v>1454</v>
      </c>
      <c r="B455" s="2">
        <v>46112</v>
      </c>
      <c r="C455" t="s">
        <v>30</v>
      </c>
      <c r="D455" t="s">
        <v>31</v>
      </c>
      <c r="E455">
        <v>3</v>
      </c>
      <c r="F455" s="3">
        <v>18529</v>
      </c>
      <c r="G455" s="3">
        <v>55587</v>
      </c>
      <c r="H455" t="s">
        <v>32</v>
      </c>
      <c r="I455" t="s">
        <v>35</v>
      </c>
      <c r="J455" t="s">
        <v>27</v>
      </c>
    </row>
    <row r="456" spans="1:10" x14ac:dyDescent="0.3">
      <c r="A456">
        <v>1455</v>
      </c>
      <c r="B456" s="2">
        <v>46113</v>
      </c>
      <c r="C456" t="s">
        <v>33</v>
      </c>
      <c r="D456" t="s">
        <v>31</v>
      </c>
      <c r="E456">
        <v>5</v>
      </c>
      <c r="F456" s="3">
        <v>376</v>
      </c>
      <c r="G456" s="3">
        <v>1880</v>
      </c>
      <c r="H456" t="s">
        <v>32</v>
      </c>
      <c r="I456" t="s">
        <v>26</v>
      </c>
      <c r="J456" t="s">
        <v>23</v>
      </c>
    </row>
    <row r="457" spans="1:10" x14ac:dyDescent="0.3">
      <c r="A457">
        <v>1456</v>
      </c>
      <c r="B457" s="2">
        <v>46114</v>
      </c>
      <c r="C457" t="s">
        <v>34</v>
      </c>
      <c r="D457" t="s">
        <v>20</v>
      </c>
      <c r="E457">
        <v>2</v>
      </c>
      <c r="F457" s="3">
        <v>23687</v>
      </c>
      <c r="G457" s="3">
        <v>47374</v>
      </c>
      <c r="H457" t="s">
        <v>21</v>
      </c>
      <c r="I457" t="s">
        <v>22</v>
      </c>
      <c r="J457" t="s">
        <v>27</v>
      </c>
    </row>
    <row r="458" spans="1:10" x14ac:dyDescent="0.3">
      <c r="A458">
        <v>1457</v>
      </c>
      <c r="B458" s="2">
        <v>46115</v>
      </c>
      <c r="C458" t="s">
        <v>37</v>
      </c>
      <c r="D458" t="s">
        <v>38</v>
      </c>
      <c r="E458">
        <v>2</v>
      </c>
      <c r="F458" s="3">
        <v>225</v>
      </c>
      <c r="G458" s="3">
        <v>450</v>
      </c>
      <c r="H458" t="s">
        <v>25</v>
      </c>
      <c r="I458" t="s">
        <v>35</v>
      </c>
      <c r="J458" t="s">
        <v>27</v>
      </c>
    </row>
    <row r="459" spans="1:10" x14ac:dyDescent="0.3">
      <c r="A459">
        <v>1458</v>
      </c>
      <c r="B459" s="2">
        <v>46116</v>
      </c>
      <c r="C459" t="s">
        <v>40</v>
      </c>
      <c r="D459" t="s">
        <v>29</v>
      </c>
      <c r="E459">
        <v>5</v>
      </c>
      <c r="F459" s="3">
        <v>882</v>
      </c>
      <c r="G459" s="3">
        <v>4410</v>
      </c>
      <c r="H459" t="s">
        <v>41</v>
      </c>
      <c r="I459" t="s">
        <v>35</v>
      </c>
      <c r="J459" t="s">
        <v>36</v>
      </c>
    </row>
    <row r="460" spans="1:10" x14ac:dyDescent="0.3">
      <c r="A460">
        <v>1459</v>
      </c>
      <c r="B460" s="2">
        <v>46117</v>
      </c>
      <c r="C460" t="s">
        <v>42</v>
      </c>
      <c r="D460" t="s">
        <v>20</v>
      </c>
      <c r="E460">
        <v>2</v>
      </c>
      <c r="F460" s="3">
        <v>7214</v>
      </c>
      <c r="G460" s="3">
        <v>14428</v>
      </c>
      <c r="H460" t="s">
        <v>25</v>
      </c>
      <c r="I460" t="s">
        <v>22</v>
      </c>
      <c r="J460" t="s">
        <v>27</v>
      </c>
    </row>
    <row r="461" spans="1:10" x14ac:dyDescent="0.3">
      <c r="A461">
        <v>1460</v>
      </c>
      <c r="B461" s="2">
        <v>46118</v>
      </c>
      <c r="C461" t="s">
        <v>43</v>
      </c>
      <c r="D461" t="s">
        <v>31</v>
      </c>
      <c r="E461">
        <v>5</v>
      </c>
      <c r="F461" s="3">
        <v>241</v>
      </c>
      <c r="G461" s="3">
        <v>1205</v>
      </c>
      <c r="H461" t="s">
        <v>32</v>
      </c>
      <c r="I461" t="s">
        <v>35</v>
      </c>
      <c r="J461" t="s">
        <v>36</v>
      </c>
    </row>
    <row r="462" spans="1:10" x14ac:dyDescent="0.3">
      <c r="A462">
        <v>1461</v>
      </c>
      <c r="B462" s="2">
        <v>46119</v>
      </c>
      <c r="C462" t="s">
        <v>19</v>
      </c>
      <c r="D462" t="s">
        <v>20</v>
      </c>
      <c r="E462">
        <v>2</v>
      </c>
      <c r="F462" s="3">
        <v>61490</v>
      </c>
      <c r="G462" s="3">
        <v>122980</v>
      </c>
      <c r="H462" t="s">
        <v>44</v>
      </c>
      <c r="I462" t="s">
        <v>22</v>
      </c>
      <c r="J462" t="s">
        <v>23</v>
      </c>
    </row>
    <row r="463" spans="1:10" x14ac:dyDescent="0.3">
      <c r="A463">
        <v>1462</v>
      </c>
      <c r="B463" s="2">
        <v>46120</v>
      </c>
      <c r="C463" t="s">
        <v>24</v>
      </c>
      <c r="D463" t="s">
        <v>20</v>
      </c>
      <c r="E463">
        <v>3</v>
      </c>
      <c r="F463" s="3">
        <v>4120</v>
      </c>
      <c r="G463" s="3">
        <v>12360</v>
      </c>
      <c r="H463" t="s">
        <v>21</v>
      </c>
      <c r="I463" t="s">
        <v>35</v>
      </c>
      <c r="J463" t="s">
        <v>36</v>
      </c>
    </row>
    <row r="464" spans="1:10" x14ac:dyDescent="0.3">
      <c r="A464">
        <v>1463</v>
      </c>
      <c r="B464" s="2">
        <v>46121</v>
      </c>
      <c r="C464" t="s">
        <v>28</v>
      </c>
      <c r="D464" t="s">
        <v>29</v>
      </c>
      <c r="E464">
        <v>1</v>
      </c>
      <c r="F464" s="3">
        <v>1206</v>
      </c>
      <c r="G464" s="3">
        <v>1206</v>
      </c>
      <c r="H464" t="s">
        <v>25</v>
      </c>
      <c r="I464" t="s">
        <v>26</v>
      </c>
      <c r="J464" t="s">
        <v>36</v>
      </c>
    </row>
    <row r="465" spans="1:10" x14ac:dyDescent="0.3">
      <c r="A465">
        <v>1464</v>
      </c>
      <c r="B465" s="2">
        <v>46122</v>
      </c>
      <c r="C465" t="s">
        <v>30</v>
      </c>
      <c r="D465" t="s">
        <v>31</v>
      </c>
      <c r="E465">
        <v>4</v>
      </c>
      <c r="F465" s="3">
        <v>10934</v>
      </c>
      <c r="G465" s="3">
        <v>43736</v>
      </c>
      <c r="H465" t="s">
        <v>44</v>
      </c>
      <c r="I465" t="s">
        <v>35</v>
      </c>
      <c r="J465" t="s">
        <v>27</v>
      </c>
    </row>
    <row r="466" spans="1:10" x14ac:dyDescent="0.3">
      <c r="A466">
        <v>1465</v>
      </c>
      <c r="B466" s="2">
        <v>46123</v>
      </c>
      <c r="C466" t="s">
        <v>33</v>
      </c>
      <c r="D466" t="s">
        <v>31</v>
      </c>
      <c r="E466">
        <v>1</v>
      </c>
      <c r="F466" s="3">
        <v>326</v>
      </c>
      <c r="G466" s="3">
        <v>326</v>
      </c>
      <c r="H466" t="s">
        <v>32</v>
      </c>
      <c r="I466" t="s">
        <v>22</v>
      </c>
      <c r="J466" t="s">
        <v>23</v>
      </c>
    </row>
    <row r="467" spans="1:10" x14ac:dyDescent="0.3">
      <c r="A467">
        <v>1466</v>
      </c>
      <c r="B467" s="2">
        <v>46124</v>
      </c>
      <c r="C467" t="s">
        <v>34</v>
      </c>
      <c r="D467" t="s">
        <v>20</v>
      </c>
      <c r="E467">
        <v>2</v>
      </c>
      <c r="F467" s="3">
        <v>37146</v>
      </c>
      <c r="G467" s="3">
        <v>74292</v>
      </c>
      <c r="H467" t="s">
        <v>21</v>
      </c>
      <c r="I467" t="s">
        <v>26</v>
      </c>
      <c r="J467" t="s">
        <v>27</v>
      </c>
    </row>
    <row r="468" spans="1:10" x14ac:dyDescent="0.3">
      <c r="A468">
        <v>1467</v>
      </c>
      <c r="B468" s="2">
        <v>46125</v>
      </c>
      <c r="C468" t="s">
        <v>37</v>
      </c>
      <c r="D468" t="s">
        <v>38</v>
      </c>
      <c r="E468">
        <v>1</v>
      </c>
      <c r="F468" s="3">
        <v>235</v>
      </c>
      <c r="G468" s="3">
        <v>235</v>
      </c>
      <c r="H468" t="s">
        <v>44</v>
      </c>
      <c r="I468" t="s">
        <v>35</v>
      </c>
      <c r="J468" t="s">
        <v>23</v>
      </c>
    </row>
    <row r="469" spans="1:10" x14ac:dyDescent="0.3">
      <c r="A469">
        <v>1468</v>
      </c>
      <c r="B469" s="2">
        <v>46126</v>
      </c>
      <c r="C469" t="s">
        <v>40</v>
      </c>
      <c r="D469" t="s">
        <v>29</v>
      </c>
      <c r="E469">
        <v>5</v>
      </c>
      <c r="F469" s="3">
        <v>1118</v>
      </c>
      <c r="G469" s="3">
        <v>5590</v>
      </c>
      <c r="H469" t="s">
        <v>32</v>
      </c>
      <c r="I469" t="s">
        <v>35</v>
      </c>
      <c r="J469" t="s">
        <v>27</v>
      </c>
    </row>
    <row r="470" spans="1:10" x14ac:dyDescent="0.3">
      <c r="A470">
        <v>1469</v>
      </c>
      <c r="B470" s="2">
        <v>46127</v>
      </c>
      <c r="C470" t="s">
        <v>42</v>
      </c>
      <c r="D470" t="s">
        <v>20</v>
      </c>
      <c r="E470">
        <v>2</v>
      </c>
      <c r="F470" s="3">
        <v>7110</v>
      </c>
      <c r="G470" s="3">
        <v>14220</v>
      </c>
      <c r="H470" t="s">
        <v>44</v>
      </c>
      <c r="I470" t="s">
        <v>26</v>
      </c>
      <c r="J470" t="s">
        <v>23</v>
      </c>
    </row>
    <row r="471" spans="1:10" x14ac:dyDescent="0.3">
      <c r="A471">
        <v>1470</v>
      </c>
      <c r="B471" s="2">
        <v>46128</v>
      </c>
      <c r="C471" t="s">
        <v>43</v>
      </c>
      <c r="D471" t="s">
        <v>31</v>
      </c>
      <c r="E471">
        <v>1</v>
      </c>
      <c r="F471" s="3">
        <v>333</v>
      </c>
      <c r="G471" s="3">
        <v>333</v>
      </c>
      <c r="H471" t="s">
        <v>32</v>
      </c>
      <c r="I471" t="s">
        <v>35</v>
      </c>
      <c r="J471" t="s">
        <v>27</v>
      </c>
    </row>
    <row r="472" spans="1:10" x14ac:dyDescent="0.3">
      <c r="A472">
        <v>1471</v>
      </c>
      <c r="B472" s="2">
        <v>46129</v>
      </c>
      <c r="C472" t="s">
        <v>19</v>
      </c>
      <c r="D472" t="s">
        <v>20</v>
      </c>
      <c r="E472">
        <v>1</v>
      </c>
      <c r="F472" s="3">
        <v>62505</v>
      </c>
      <c r="G472" s="3">
        <v>62505</v>
      </c>
      <c r="H472" t="s">
        <v>32</v>
      </c>
      <c r="I472" t="s">
        <v>22</v>
      </c>
      <c r="J472" t="s">
        <v>27</v>
      </c>
    </row>
    <row r="473" spans="1:10" x14ac:dyDescent="0.3">
      <c r="A473">
        <v>1472</v>
      </c>
      <c r="B473" s="2">
        <v>46130</v>
      </c>
      <c r="C473" t="s">
        <v>24</v>
      </c>
      <c r="D473" t="s">
        <v>20</v>
      </c>
      <c r="E473">
        <v>1</v>
      </c>
      <c r="F473" s="3">
        <v>3269</v>
      </c>
      <c r="G473" s="3">
        <v>3269</v>
      </c>
      <c r="H473" t="s">
        <v>41</v>
      </c>
      <c r="I473" t="s">
        <v>35</v>
      </c>
      <c r="J473" t="s">
        <v>23</v>
      </c>
    </row>
    <row r="474" spans="1:10" x14ac:dyDescent="0.3">
      <c r="A474">
        <v>1473</v>
      </c>
      <c r="B474" s="2">
        <v>46131</v>
      </c>
      <c r="C474" t="s">
        <v>28</v>
      </c>
      <c r="D474" t="s">
        <v>29</v>
      </c>
      <c r="E474">
        <v>1</v>
      </c>
      <c r="F474" s="3">
        <v>3182</v>
      </c>
      <c r="G474" s="3">
        <v>3182</v>
      </c>
      <c r="H474" t="s">
        <v>41</v>
      </c>
      <c r="I474" t="s">
        <v>22</v>
      </c>
      <c r="J474" t="s">
        <v>36</v>
      </c>
    </row>
    <row r="475" spans="1:10" x14ac:dyDescent="0.3">
      <c r="A475">
        <v>1474</v>
      </c>
      <c r="B475" s="2">
        <v>46132</v>
      </c>
      <c r="C475" t="s">
        <v>30</v>
      </c>
      <c r="D475" t="s">
        <v>31</v>
      </c>
      <c r="E475">
        <v>1</v>
      </c>
      <c r="F475" s="3">
        <v>4471</v>
      </c>
      <c r="G475" s="3">
        <v>4471</v>
      </c>
      <c r="H475" t="s">
        <v>25</v>
      </c>
      <c r="I475" t="s">
        <v>26</v>
      </c>
      <c r="J475" t="s">
        <v>36</v>
      </c>
    </row>
    <row r="476" spans="1:10" x14ac:dyDescent="0.3">
      <c r="A476">
        <v>1475</v>
      </c>
      <c r="B476" s="2">
        <v>46133</v>
      </c>
      <c r="C476" t="s">
        <v>33</v>
      </c>
      <c r="D476" t="s">
        <v>31</v>
      </c>
      <c r="E476">
        <v>2</v>
      </c>
      <c r="F476" s="3">
        <v>732</v>
      </c>
      <c r="G476" s="3">
        <v>1464</v>
      </c>
      <c r="H476" t="s">
        <v>39</v>
      </c>
      <c r="I476" t="s">
        <v>22</v>
      </c>
      <c r="J476" t="s">
        <v>23</v>
      </c>
    </row>
    <row r="477" spans="1:10" x14ac:dyDescent="0.3">
      <c r="A477">
        <v>1476</v>
      </c>
      <c r="B477" s="2">
        <v>46134</v>
      </c>
      <c r="C477" t="s">
        <v>34</v>
      </c>
      <c r="D477" t="s">
        <v>20</v>
      </c>
      <c r="E477">
        <v>2</v>
      </c>
      <c r="F477" s="3">
        <v>14850</v>
      </c>
      <c r="G477" s="3">
        <v>29700</v>
      </c>
      <c r="H477" t="s">
        <v>32</v>
      </c>
      <c r="I477" t="s">
        <v>26</v>
      </c>
      <c r="J477" t="s">
        <v>36</v>
      </c>
    </row>
    <row r="478" spans="1:10" x14ac:dyDescent="0.3">
      <c r="A478">
        <v>1477</v>
      </c>
      <c r="B478" s="2">
        <v>46135</v>
      </c>
      <c r="C478" t="s">
        <v>37</v>
      </c>
      <c r="D478" t="s">
        <v>38</v>
      </c>
      <c r="E478">
        <v>2</v>
      </c>
      <c r="F478" s="3">
        <v>179</v>
      </c>
      <c r="G478" s="3">
        <v>358</v>
      </c>
      <c r="H478" t="s">
        <v>41</v>
      </c>
      <c r="I478" t="s">
        <v>22</v>
      </c>
      <c r="J478" t="s">
        <v>27</v>
      </c>
    </row>
    <row r="479" spans="1:10" x14ac:dyDescent="0.3">
      <c r="A479">
        <v>1478</v>
      </c>
      <c r="B479" s="2">
        <v>46136</v>
      </c>
      <c r="C479" t="s">
        <v>40</v>
      </c>
      <c r="D479" t="s">
        <v>29</v>
      </c>
      <c r="E479">
        <v>5</v>
      </c>
      <c r="F479" s="3">
        <v>1213</v>
      </c>
      <c r="G479" s="3">
        <v>6065</v>
      </c>
      <c r="H479" t="s">
        <v>44</v>
      </c>
      <c r="I479" t="s">
        <v>22</v>
      </c>
      <c r="J479" t="s">
        <v>36</v>
      </c>
    </row>
    <row r="480" spans="1:10" x14ac:dyDescent="0.3">
      <c r="A480">
        <v>1479</v>
      </c>
      <c r="B480" s="2">
        <v>46137</v>
      </c>
      <c r="C480" t="s">
        <v>42</v>
      </c>
      <c r="D480" t="s">
        <v>20</v>
      </c>
      <c r="E480">
        <v>1</v>
      </c>
      <c r="F480" s="3">
        <v>5171</v>
      </c>
      <c r="G480" s="3">
        <v>5171</v>
      </c>
      <c r="H480" t="s">
        <v>44</v>
      </c>
      <c r="I480" t="s">
        <v>26</v>
      </c>
      <c r="J480" t="s">
        <v>27</v>
      </c>
    </row>
    <row r="481" spans="1:10" x14ac:dyDescent="0.3">
      <c r="A481">
        <v>1480</v>
      </c>
      <c r="B481" s="2">
        <v>46138</v>
      </c>
      <c r="C481" t="s">
        <v>43</v>
      </c>
      <c r="D481" t="s">
        <v>31</v>
      </c>
      <c r="E481">
        <v>1</v>
      </c>
      <c r="F481" s="3">
        <v>731</v>
      </c>
      <c r="G481" s="3">
        <v>731</v>
      </c>
      <c r="H481" t="s">
        <v>21</v>
      </c>
      <c r="I481" t="s">
        <v>35</v>
      </c>
      <c r="J481" t="s">
        <v>23</v>
      </c>
    </row>
    <row r="482" spans="1:10" x14ac:dyDescent="0.3">
      <c r="A482">
        <v>1481</v>
      </c>
      <c r="B482" s="2">
        <v>46139</v>
      </c>
      <c r="C482" t="s">
        <v>19</v>
      </c>
      <c r="D482" t="s">
        <v>20</v>
      </c>
      <c r="E482">
        <v>1</v>
      </c>
      <c r="F482" s="3">
        <v>67499</v>
      </c>
      <c r="G482" s="3">
        <v>67499</v>
      </c>
      <c r="H482" t="s">
        <v>21</v>
      </c>
      <c r="I482" t="s">
        <v>22</v>
      </c>
      <c r="J482" t="s">
        <v>27</v>
      </c>
    </row>
    <row r="483" spans="1:10" x14ac:dyDescent="0.3">
      <c r="A483">
        <v>1482</v>
      </c>
      <c r="B483" s="2">
        <v>46140</v>
      </c>
      <c r="C483" t="s">
        <v>24</v>
      </c>
      <c r="D483" t="s">
        <v>20</v>
      </c>
      <c r="E483">
        <v>1</v>
      </c>
      <c r="F483" s="3">
        <v>4107</v>
      </c>
      <c r="G483" s="3">
        <v>4107</v>
      </c>
      <c r="H483" t="s">
        <v>25</v>
      </c>
      <c r="I483" t="s">
        <v>26</v>
      </c>
      <c r="J483" t="s">
        <v>23</v>
      </c>
    </row>
    <row r="484" spans="1:10" x14ac:dyDescent="0.3">
      <c r="A484">
        <v>1483</v>
      </c>
      <c r="B484" s="2">
        <v>46141</v>
      </c>
      <c r="C484" t="s">
        <v>28</v>
      </c>
      <c r="D484" t="s">
        <v>29</v>
      </c>
      <c r="E484">
        <v>2</v>
      </c>
      <c r="F484" s="3">
        <v>2690</v>
      </c>
      <c r="G484" s="3">
        <v>5380</v>
      </c>
      <c r="H484" t="s">
        <v>39</v>
      </c>
      <c r="I484" t="s">
        <v>35</v>
      </c>
      <c r="J484" t="s">
        <v>23</v>
      </c>
    </row>
    <row r="485" spans="1:10" x14ac:dyDescent="0.3">
      <c r="A485">
        <v>1484</v>
      </c>
      <c r="B485" s="2">
        <v>46142</v>
      </c>
      <c r="C485" t="s">
        <v>30</v>
      </c>
      <c r="D485" t="s">
        <v>31</v>
      </c>
      <c r="E485">
        <v>5</v>
      </c>
      <c r="F485" s="3">
        <v>8632</v>
      </c>
      <c r="G485" s="3">
        <v>43160</v>
      </c>
      <c r="H485" t="s">
        <v>41</v>
      </c>
      <c r="I485" t="s">
        <v>22</v>
      </c>
      <c r="J485" t="s">
        <v>23</v>
      </c>
    </row>
    <row r="486" spans="1:10" x14ac:dyDescent="0.3">
      <c r="A486">
        <v>1485</v>
      </c>
      <c r="B486" s="2">
        <v>46143</v>
      </c>
      <c r="C486" t="s">
        <v>33</v>
      </c>
      <c r="D486" t="s">
        <v>31</v>
      </c>
      <c r="E486">
        <v>2</v>
      </c>
      <c r="F486" s="3">
        <v>746</v>
      </c>
      <c r="G486" s="3">
        <v>1492</v>
      </c>
      <c r="H486" t="s">
        <v>32</v>
      </c>
      <c r="I486" t="s">
        <v>35</v>
      </c>
      <c r="J486" t="s">
        <v>36</v>
      </c>
    </row>
    <row r="487" spans="1:10" x14ac:dyDescent="0.3">
      <c r="A487">
        <v>1486</v>
      </c>
      <c r="B487" s="2">
        <v>46144</v>
      </c>
      <c r="C487" t="s">
        <v>34</v>
      </c>
      <c r="D487" t="s">
        <v>20</v>
      </c>
      <c r="E487">
        <v>2</v>
      </c>
      <c r="F487" s="3">
        <v>19358</v>
      </c>
      <c r="G487" s="3">
        <v>38716</v>
      </c>
      <c r="H487" t="s">
        <v>32</v>
      </c>
      <c r="I487" t="s">
        <v>26</v>
      </c>
      <c r="J487" t="s">
        <v>27</v>
      </c>
    </row>
    <row r="488" spans="1:10" x14ac:dyDescent="0.3">
      <c r="A488">
        <v>1487</v>
      </c>
      <c r="B488" s="2">
        <v>46145</v>
      </c>
      <c r="C488" t="s">
        <v>37</v>
      </c>
      <c r="D488" t="s">
        <v>38</v>
      </c>
      <c r="E488">
        <v>3</v>
      </c>
      <c r="F488" s="3">
        <v>128</v>
      </c>
      <c r="G488" s="3">
        <v>384</v>
      </c>
      <c r="H488" t="s">
        <v>41</v>
      </c>
      <c r="I488" t="s">
        <v>22</v>
      </c>
      <c r="J488" t="s">
        <v>23</v>
      </c>
    </row>
    <row r="489" spans="1:10" x14ac:dyDescent="0.3">
      <c r="A489">
        <v>1488</v>
      </c>
      <c r="B489" s="2">
        <v>46146</v>
      </c>
      <c r="C489" t="s">
        <v>40</v>
      </c>
      <c r="D489" t="s">
        <v>29</v>
      </c>
      <c r="E489">
        <v>2</v>
      </c>
      <c r="F489" s="3">
        <v>1440</v>
      </c>
      <c r="G489" s="3">
        <v>2880</v>
      </c>
      <c r="H489" t="s">
        <v>25</v>
      </c>
      <c r="I489" t="s">
        <v>22</v>
      </c>
      <c r="J489" t="s">
        <v>36</v>
      </c>
    </row>
    <row r="490" spans="1:10" x14ac:dyDescent="0.3">
      <c r="A490">
        <v>1489</v>
      </c>
      <c r="B490" s="2">
        <v>46147</v>
      </c>
      <c r="C490" t="s">
        <v>42</v>
      </c>
      <c r="D490" t="s">
        <v>20</v>
      </c>
      <c r="E490">
        <v>1</v>
      </c>
      <c r="F490" s="3">
        <v>14302</v>
      </c>
      <c r="G490" s="3">
        <v>14302</v>
      </c>
      <c r="H490" t="s">
        <v>21</v>
      </c>
      <c r="I490" t="s">
        <v>35</v>
      </c>
      <c r="J490" t="s">
        <v>36</v>
      </c>
    </row>
    <row r="491" spans="1:10" x14ac:dyDescent="0.3">
      <c r="A491">
        <v>1490</v>
      </c>
      <c r="B491" s="2">
        <v>46148</v>
      </c>
      <c r="C491" t="s">
        <v>43</v>
      </c>
      <c r="D491" t="s">
        <v>31</v>
      </c>
      <c r="E491">
        <v>5</v>
      </c>
      <c r="F491" s="3">
        <v>296</v>
      </c>
      <c r="G491" s="3">
        <v>1480</v>
      </c>
      <c r="H491" t="s">
        <v>44</v>
      </c>
      <c r="I491" t="s">
        <v>26</v>
      </c>
      <c r="J491" t="s">
        <v>23</v>
      </c>
    </row>
    <row r="492" spans="1:10" x14ac:dyDescent="0.3">
      <c r="A492">
        <v>1491</v>
      </c>
      <c r="B492" s="2">
        <v>46149</v>
      </c>
      <c r="C492" t="s">
        <v>19</v>
      </c>
      <c r="D492" t="s">
        <v>20</v>
      </c>
      <c r="E492">
        <v>2</v>
      </c>
      <c r="F492" s="3">
        <v>63623</v>
      </c>
      <c r="G492" s="3">
        <v>127246</v>
      </c>
      <c r="H492" t="s">
        <v>44</v>
      </c>
      <c r="I492" t="s">
        <v>22</v>
      </c>
      <c r="J492" t="s">
        <v>27</v>
      </c>
    </row>
    <row r="493" spans="1:10" x14ac:dyDescent="0.3">
      <c r="A493">
        <v>1492</v>
      </c>
      <c r="B493" s="2">
        <v>46150</v>
      </c>
      <c r="C493" t="s">
        <v>24</v>
      </c>
      <c r="D493" t="s">
        <v>20</v>
      </c>
      <c r="E493">
        <v>1</v>
      </c>
      <c r="F493" s="3">
        <v>2952</v>
      </c>
      <c r="G493" s="3">
        <v>2952</v>
      </c>
      <c r="H493" t="s">
        <v>44</v>
      </c>
      <c r="I493" t="s">
        <v>26</v>
      </c>
      <c r="J493" t="s">
        <v>23</v>
      </c>
    </row>
    <row r="494" spans="1:10" x14ac:dyDescent="0.3">
      <c r="A494">
        <v>1493</v>
      </c>
      <c r="B494" s="2">
        <v>46151</v>
      </c>
      <c r="C494" t="s">
        <v>28</v>
      </c>
      <c r="D494" t="s">
        <v>29</v>
      </c>
      <c r="E494">
        <v>3</v>
      </c>
      <c r="F494" s="3">
        <v>4415</v>
      </c>
      <c r="G494" s="3">
        <v>13245</v>
      </c>
      <c r="H494" t="s">
        <v>25</v>
      </c>
      <c r="I494" t="s">
        <v>26</v>
      </c>
      <c r="J494" t="s">
        <v>23</v>
      </c>
    </row>
    <row r="495" spans="1:10" x14ac:dyDescent="0.3">
      <c r="A495">
        <v>1494</v>
      </c>
      <c r="B495" s="2">
        <v>46152</v>
      </c>
      <c r="C495" t="s">
        <v>30</v>
      </c>
      <c r="D495" t="s">
        <v>31</v>
      </c>
      <c r="E495">
        <v>1</v>
      </c>
      <c r="F495" s="3">
        <v>12572</v>
      </c>
      <c r="G495" s="3">
        <v>12572</v>
      </c>
      <c r="H495" t="s">
        <v>41</v>
      </c>
      <c r="I495" t="s">
        <v>26</v>
      </c>
      <c r="J495" t="s">
        <v>36</v>
      </c>
    </row>
    <row r="496" spans="1:10" x14ac:dyDescent="0.3">
      <c r="A496">
        <v>1495</v>
      </c>
      <c r="B496" s="2">
        <v>46153</v>
      </c>
      <c r="C496" t="s">
        <v>33</v>
      </c>
      <c r="D496" t="s">
        <v>31</v>
      </c>
      <c r="E496">
        <v>5</v>
      </c>
      <c r="F496" s="3">
        <v>745</v>
      </c>
      <c r="G496" s="3">
        <v>3725</v>
      </c>
      <c r="H496" t="s">
        <v>41</v>
      </c>
      <c r="I496" t="s">
        <v>35</v>
      </c>
      <c r="J496" t="s">
        <v>23</v>
      </c>
    </row>
    <row r="497" spans="1:10" x14ac:dyDescent="0.3">
      <c r="A497">
        <v>1496</v>
      </c>
      <c r="B497" s="2">
        <v>46154</v>
      </c>
      <c r="C497" t="s">
        <v>34</v>
      </c>
      <c r="D497" t="s">
        <v>20</v>
      </c>
      <c r="E497">
        <v>1</v>
      </c>
      <c r="F497" s="3">
        <v>30973</v>
      </c>
      <c r="G497" s="3">
        <v>30973</v>
      </c>
      <c r="H497" t="s">
        <v>44</v>
      </c>
      <c r="I497" t="s">
        <v>22</v>
      </c>
      <c r="J497" t="s">
        <v>36</v>
      </c>
    </row>
    <row r="498" spans="1:10" x14ac:dyDescent="0.3">
      <c r="A498">
        <v>1497</v>
      </c>
      <c r="B498" s="2">
        <v>46155</v>
      </c>
      <c r="C498" t="s">
        <v>37</v>
      </c>
      <c r="D498" t="s">
        <v>38</v>
      </c>
      <c r="E498">
        <v>5</v>
      </c>
      <c r="F498" s="3">
        <v>756</v>
      </c>
      <c r="G498" s="3">
        <v>3780</v>
      </c>
      <c r="H498" t="s">
        <v>44</v>
      </c>
      <c r="I498" t="s">
        <v>26</v>
      </c>
      <c r="J498" t="s">
        <v>27</v>
      </c>
    </row>
    <row r="499" spans="1:10" x14ac:dyDescent="0.3">
      <c r="A499">
        <v>1498</v>
      </c>
      <c r="B499" s="2">
        <v>46156</v>
      </c>
      <c r="C499" t="s">
        <v>40</v>
      </c>
      <c r="D499" t="s">
        <v>29</v>
      </c>
      <c r="E499">
        <v>1</v>
      </c>
      <c r="F499" s="3">
        <v>966</v>
      </c>
      <c r="G499" s="3">
        <v>966</v>
      </c>
      <c r="H499" t="s">
        <v>32</v>
      </c>
      <c r="I499" t="s">
        <v>22</v>
      </c>
      <c r="J499" t="s">
        <v>23</v>
      </c>
    </row>
    <row r="500" spans="1:10" x14ac:dyDescent="0.3">
      <c r="A500">
        <v>1499</v>
      </c>
      <c r="B500" s="2">
        <v>46157</v>
      </c>
      <c r="C500" t="s">
        <v>42</v>
      </c>
      <c r="D500" t="s">
        <v>20</v>
      </c>
      <c r="E500">
        <v>1</v>
      </c>
      <c r="F500" s="3">
        <v>13343</v>
      </c>
      <c r="G500" s="3">
        <v>13343</v>
      </c>
      <c r="H500" t="s">
        <v>39</v>
      </c>
      <c r="I500" t="s">
        <v>22</v>
      </c>
      <c r="J500" t="s">
        <v>27</v>
      </c>
    </row>
  </sheetData>
  <conditionalFormatting sqref="G2:G500">
    <cfRule type="colorScale" priority="1">
      <colorScale>
        <cfvo type="min"/>
        <cfvo type="percentile" val="50"/>
        <cfvo type="max"/>
        <color rgb="FFFEE2E2"/>
        <color rgb="FFFEF3C7"/>
        <color rgb="FFDCFCE7"/>
      </colorScale>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defaultRowHeight="14.4" x14ac:dyDescent="0.3"/>
  <sheetData>
    <row r="1" spans="1:5" x14ac:dyDescent="0.3">
      <c r="A1" t="s">
        <v>1</v>
      </c>
      <c r="B1" t="s">
        <v>2</v>
      </c>
      <c r="C1" t="s">
        <v>3</v>
      </c>
      <c r="D1" t="s">
        <v>4</v>
      </c>
      <c r="E1" t="s">
        <v>45</v>
      </c>
    </row>
    <row r="2" spans="1:5" x14ac:dyDescent="0.3">
      <c r="A2" t="s">
        <v>5</v>
      </c>
      <c r="B2" t="s">
        <v>5</v>
      </c>
      <c r="C2" t="s">
        <v>5</v>
      </c>
      <c r="D2" t="s">
        <v>5</v>
      </c>
      <c r="E2" t="s">
        <v>5</v>
      </c>
    </row>
    <row r="3" spans="1:5" x14ac:dyDescent="0.3">
      <c r="A3" t="s">
        <v>41</v>
      </c>
      <c r="B3" t="s">
        <v>38</v>
      </c>
      <c r="C3" t="s">
        <v>40</v>
      </c>
      <c r="D3" t="s">
        <v>26</v>
      </c>
      <c r="E3" t="s">
        <v>36</v>
      </c>
    </row>
    <row r="4" spans="1:5" x14ac:dyDescent="0.3">
      <c r="A4" t="s">
        <v>21</v>
      </c>
      <c r="B4" t="s">
        <v>20</v>
      </c>
      <c r="C4" t="s">
        <v>37</v>
      </c>
      <c r="D4" t="s">
        <v>22</v>
      </c>
      <c r="E4" t="s">
        <v>23</v>
      </c>
    </row>
    <row r="5" spans="1:5" x14ac:dyDescent="0.3">
      <c r="A5" t="s">
        <v>25</v>
      </c>
      <c r="B5" t="s">
        <v>29</v>
      </c>
      <c r="C5" t="s">
        <v>24</v>
      </c>
      <c r="D5" t="s">
        <v>35</v>
      </c>
      <c r="E5" t="s">
        <v>27</v>
      </c>
    </row>
    <row r="6" spans="1:5" x14ac:dyDescent="0.3">
      <c r="A6" t="s">
        <v>39</v>
      </c>
      <c r="B6" t="s">
        <v>31</v>
      </c>
      <c r="C6" t="s">
        <v>19</v>
      </c>
    </row>
    <row r="7" spans="1:5" x14ac:dyDescent="0.3">
      <c r="A7" t="s">
        <v>44</v>
      </c>
      <c r="C7" t="s">
        <v>33</v>
      </c>
    </row>
    <row r="8" spans="1:5" x14ac:dyDescent="0.3">
      <c r="A8" t="s">
        <v>32</v>
      </c>
      <c r="C8" t="s">
        <v>28</v>
      </c>
    </row>
    <row r="9" spans="1:5" x14ac:dyDescent="0.3">
      <c r="C9" t="s">
        <v>42</v>
      </c>
    </row>
    <row r="10" spans="1:5" x14ac:dyDescent="0.3">
      <c r="C10" t="s">
        <v>34</v>
      </c>
    </row>
    <row r="11" spans="1:5" x14ac:dyDescent="0.3">
      <c r="C11" t="s">
        <v>30</v>
      </c>
    </row>
    <row r="12" spans="1:5" x14ac:dyDescent="0.3">
      <c r="C12"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Calculation</vt:lpstr>
      <vt:lpstr>Data</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tiwari</cp:lastModifiedBy>
  <dcterms:created xsi:type="dcterms:W3CDTF">2026-08-27T16:08:17Z</dcterms:created>
  <dcterms:modified xsi:type="dcterms:W3CDTF">2026-08-30T07:59:51Z</dcterms:modified>
</cp:coreProperties>
</file>